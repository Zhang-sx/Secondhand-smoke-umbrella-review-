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601"/>
  </bookViews>
  <sheets>
    <sheet name="Data" sheetId="1" r:id="rId1"/>
    <sheet name="GRADE" sheetId="2" r:id="rId2"/>
    <sheet name="AMSTAR2" sheetId="3" r:id="rId3"/>
    <sheet name="MA" sheetId="4" r:id="rId4"/>
    <sheet name="219 evidence" sheetId="5" r:id="rId5"/>
    <sheet name="总纳入meta" sheetId="7" r:id="rId6"/>
    <sheet name="I II 类 FSN" sheetId="9" r:id="rId7"/>
    <sheet name="III IV 类FSN" sheetId="14" r:id="rId8"/>
    <sheet name="Evidence NS CP" sheetId="17" r:id="rId9"/>
    <sheet name="暴露" sheetId="11" r:id="rId10"/>
    <sheet name="Potential eligible meta (277)" sheetId="13" r:id="rId11"/>
    <sheet name="最终结局（有意义+无意义）" sheetId="15" r:id="rId12"/>
    <sheet name="所有有意义结局" sheetId="16" r:id="rId13"/>
    <sheet name="新增文献" sheetId="10" r:id="rId14"/>
    <sheet name="引文检索加参考文献更新检索" sheetId="18" r:id="rId15"/>
  </sheets>
  <definedNames>
    <definedName name="_xlnm._FilterDatabase" localSheetId="0" hidden="1">Data!$A$1:$AK$228</definedName>
    <definedName name="_xlnm._FilterDatabase" localSheetId="1" hidden="1">GRADE!$B$1:$AE$228</definedName>
    <definedName name="_xlnm._FilterDatabase" localSheetId="2" hidden="1">AMSTAR2!$A$1:$S$101</definedName>
    <definedName name="_xlnm._FilterDatabase" localSheetId="3" hidden="1">MA!$F$1:$F$616</definedName>
    <definedName name="_xlnm._FilterDatabase" localSheetId="4" hidden="1">'219 evidence'!$A$1:$A$220</definedName>
    <definedName name="_xlnm._FilterDatabase" localSheetId="6" hidden="1">'I II 类 FSN'!$F$1:$F$29</definedName>
    <definedName name="_xlnm._FilterDatabase" localSheetId="7" hidden="1">'III IV 类FSN'!$I$1:$I$106</definedName>
    <definedName name="_xlnm._FilterDatabase" localSheetId="8" hidden="1">'Evidence NS CP'!$T$1:$T$83</definedName>
    <definedName name="_xlnm._FilterDatabase" localSheetId="13" hidden="1">新增文献!$C$1:$C$26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<sst xmlns="http://schemas.openxmlformats.org/spreadsheetml/2006/main" count="13038" uniqueCount="2406">
  <si>
    <t>No of evidence</t>
  </si>
  <si>
    <t>Outcome</t>
  </si>
  <si>
    <t>Study Author/Year</t>
  </si>
  <si>
    <t>Exposure Source</t>
  </si>
  <si>
    <t>Doses</t>
  </si>
  <si>
    <t>T/C/P</t>
  </si>
  <si>
    <r>
      <rPr>
        <b/>
        <sz val="11"/>
        <color theme="1"/>
        <rFont val="Arial"/>
        <charset val="134"/>
      </rPr>
      <t xml:space="preserve">2026 </t>
    </r>
    <r>
      <rPr>
        <b/>
        <sz val="11"/>
        <color theme="1"/>
        <rFont val="宋体"/>
        <charset val="134"/>
      </rPr>
      <t>重算效应值</t>
    </r>
  </si>
  <si>
    <t>Metric</t>
  </si>
  <si>
    <t>Number of Cases</t>
  </si>
  <si>
    <t>PI_lower</t>
  </si>
  <si>
    <t>PI_upper</t>
  </si>
  <si>
    <t>PI_contains_null</t>
  </si>
  <si>
    <t>pval.random</t>
  </si>
  <si>
    <t>Exposure Population</t>
  </si>
  <si>
    <t>Number of Cases/Total</t>
  </si>
  <si>
    <t>Total</t>
  </si>
  <si>
    <t>重算效应值</t>
  </si>
  <si>
    <t>Effect Model</t>
  </si>
  <si>
    <t>Egger's regression</t>
  </si>
  <si>
    <t>TESpval</t>
  </si>
  <si>
    <t>I2</t>
  </si>
  <si>
    <t>FSN_Rosenthal</t>
  </si>
  <si>
    <t>m_nomi l_theta_pool</t>
  </si>
  <si>
    <t>m_nomi l_theta_max</t>
  </si>
  <si>
    <t>m_CP80_theta_pool</t>
  </si>
  <si>
    <t>m_CP80_theta_max</t>
  </si>
  <si>
    <t>AMSTAR 2</t>
  </si>
  <si>
    <t>Evidence Class</t>
  </si>
  <si>
    <t>Quality</t>
  </si>
  <si>
    <t>Adverse Pregnancy Outcomes</t>
  </si>
  <si>
    <t>D1</t>
  </si>
  <si>
    <t>Preterm Birth</t>
  </si>
  <si>
    <t>Philips EM 2020 (IPD)</t>
  </si>
  <si>
    <t>Maternal active smoking during pregnancy</t>
  </si>
  <si>
    <t>Exposed in the first trimester</t>
  </si>
  <si>
    <t>11/11/0</t>
  </si>
  <si>
    <t>1.08(0.86-1.36)</t>
  </si>
  <si>
    <t>OR</t>
  </si>
  <si>
    <t>Fetus exposed to passive smoking from maternal active smoking during pregnancy</t>
  </si>
  <si>
    <t>4550/101096</t>
  </si>
  <si>
    <t>1.08 (0.88–1.32)</t>
  </si>
  <si>
    <t>Random (REML)</t>
  </si>
  <si>
    <t xml:space="preserve"> </t>
  </si>
  <si>
    <t>NA</t>
  </si>
  <si>
    <t>NS</t>
  </si>
  <si>
    <t>Very Low</t>
  </si>
  <si>
    <t>D2</t>
  </si>
  <si>
    <t>Continued smoking during pregnancy</t>
  </si>
  <si>
    <t>23/23/0</t>
  </si>
  <si>
    <r>
      <rPr>
        <sz val="11"/>
        <color theme="1"/>
        <rFont val="宋体"/>
        <charset val="134"/>
        <scheme val="minor"/>
      </rPr>
      <t>1.17</t>
    </r>
    <r>
      <rPr>
        <sz val="11"/>
        <color theme="1"/>
        <rFont val="宋体"/>
        <charset val="134"/>
      </rPr>
      <t>（</t>
    </r>
    <r>
      <rPr>
        <sz val="11"/>
        <color theme="1"/>
        <rFont val="宋体"/>
        <charset val="134"/>
        <scheme val="minor"/>
      </rPr>
      <t>1.08-1.26</t>
    </r>
    <r>
      <rPr>
        <sz val="11"/>
        <color theme="1"/>
        <rFont val="宋体"/>
        <charset val="134"/>
      </rPr>
      <t>）</t>
    </r>
  </si>
  <si>
    <t>1593/29951</t>
  </si>
  <si>
    <t>1.17 (1.08–1.26)</t>
  </si>
  <si>
    <t>III</t>
  </si>
  <si>
    <t>N1</t>
  </si>
  <si>
    <t>Cui 2016</t>
  </si>
  <si>
    <t>Maternal passive smoking during pregnancy</t>
  </si>
  <si>
    <t>23/15/8</t>
  </si>
  <si>
    <t>1.19(1.06-1.33)</t>
  </si>
  <si>
    <t>RR/OR</t>
  </si>
  <si>
    <t>Both fetus and pregnant mothers exposed to passive smoking during pregnancy</t>
  </si>
  <si>
    <t>5607/93869</t>
  </si>
  <si>
    <t>1.19 (1.07–1.33)</t>
  </si>
  <si>
    <t>Low</t>
  </si>
  <si>
    <t>IV</t>
  </si>
  <si>
    <t>D3</t>
  </si>
  <si>
    <t>Miscarriage*</t>
  </si>
  <si>
    <t>Pineles BL 2014</t>
  </si>
  <si>
    <t>Any exposure</t>
  </si>
  <si>
    <t>50/27/23</t>
  </si>
  <si>
    <t>1.26(1.16-1.37)</t>
  </si>
  <si>
    <t>&gt;367578</t>
  </si>
  <si>
    <t>1.4e-06</t>
  </si>
  <si>
    <t>&gt;367578/2741684</t>
  </si>
  <si>
    <t>1.26 (1.16–1.36)</t>
  </si>
  <si>
    <t>D4</t>
  </si>
  <si>
    <t>Miscarriage</t>
  </si>
  <si>
    <t>Nadia A 2021</t>
  </si>
  <si>
    <t>7/3/4</t>
  </si>
  <si>
    <t>1.04(0.89-1.21)</t>
  </si>
  <si>
    <t>RR</t>
  </si>
  <si>
    <t>&gt;2051</t>
  </si>
  <si>
    <t>&gt;2051/5781631</t>
  </si>
  <si>
    <t>1.04 (0.92–1.18)</t>
  </si>
  <si>
    <t>High</t>
  </si>
  <si>
    <t>D5</t>
  </si>
  <si>
    <t>1-10 cigarettes per day</t>
  </si>
  <si>
    <t>7/4/3</t>
  </si>
  <si>
    <t>1.01(0.97-1.06)</t>
  </si>
  <si>
    <t>&gt;6111</t>
  </si>
  <si>
    <t>&gt;6111/5781868</t>
  </si>
  <si>
    <t>1.01 (0.98–1.05)</t>
  </si>
  <si>
    <t>D6</t>
  </si>
  <si>
    <t>11-19 cigarettes per day</t>
  </si>
  <si>
    <t>1.06(0.97-1.15)</t>
  </si>
  <si>
    <t>1.06 (0.99–1.13)</t>
  </si>
  <si>
    <t>D7</t>
  </si>
  <si>
    <t>&gt;=20 cigarettes per day</t>
  </si>
  <si>
    <t>6/3/3</t>
  </si>
  <si>
    <t>1.23(1.19-1.27)</t>
  </si>
  <si>
    <t>2.41e-05</t>
  </si>
  <si>
    <t>&gt;6111/5777672</t>
  </si>
  <si>
    <t>1.23 (1.20–1.26)</t>
  </si>
  <si>
    <t>D8</t>
  </si>
  <si>
    <t>Perinatal death*</t>
  </si>
  <si>
    <t>Pineles BL 2016</t>
  </si>
  <si>
    <t>46/42/4</t>
  </si>
  <si>
    <t>1.33 (1.24–1.42)</t>
  </si>
  <si>
    <t>&gt;2000</t>
  </si>
  <si>
    <t>1.42e-10</t>
  </si>
  <si>
    <t>&gt;2000/2342689</t>
  </si>
  <si>
    <t>Critically Low</t>
  </si>
  <si>
    <t>II</t>
  </si>
  <si>
    <t>U6</t>
  </si>
  <si>
    <t>Stillbirth</t>
  </si>
  <si>
    <t>Marufu TC 2015</t>
  </si>
  <si>
    <t>&lt;10 cigarettes per day</t>
  </si>
  <si>
    <t>6/2/4</t>
  </si>
  <si>
    <t>1.10(0.95-1.27)</t>
  </si>
  <si>
    <t>&gt;2000/9811639</t>
  </si>
  <si>
    <t>1.10(0.98-1.23)</t>
  </si>
  <si>
    <t>U7</t>
  </si>
  <si>
    <t>≥ 10 cigarettes per day</t>
  </si>
  <si>
    <t>1.54(1.23-1.93)</t>
  </si>
  <si>
    <t>&gt;2000/9930110</t>
  </si>
  <si>
    <t>1.54(1.28-1.84)</t>
  </si>
  <si>
    <t>D9</t>
  </si>
  <si>
    <t>Low-Birth-Weight*</t>
  </si>
  <si>
    <t>Di HK 2022</t>
  </si>
  <si>
    <t>55/55/0</t>
  </si>
  <si>
    <t>1.89(1.78-2.01)</t>
  </si>
  <si>
    <t>&gt;5478</t>
  </si>
  <si>
    <t>2.83e-27</t>
  </si>
  <si>
    <t>&gt;5478/517419</t>
  </si>
  <si>
    <t>1.89 (1.78–2.01)</t>
  </si>
  <si>
    <t>D10</t>
  </si>
  <si>
    <t>6/6/0</t>
  </si>
  <si>
    <t>1.49(1.08-2.05)</t>
  </si>
  <si>
    <t>&gt;2000/228327</t>
  </si>
  <si>
    <t>1.49 (1.16–1.90)</t>
  </si>
  <si>
    <t>D11</t>
  </si>
  <si>
    <t>7/7/0</t>
  </si>
  <si>
    <t>2.05(1.89-2.23)</t>
  </si>
  <si>
    <t>7.83e-07</t>
  </si>
  <si>
    <t>&gt;2000/235149</t>
  </si>
  <si>
    <t>2.05 (1.92–2.19)</t>
  </si>
  <si>
    <t>I</t>
  </si>
  <si>
    <t>Moderate</t>
  </si>
  <si>
    <t>U4</t>
  </si>
  <si>
    <t>≥ 20 cigarettes per day</t>
  </si>
  <si>
    <t>4/4/0</t>
  </si>
  <si>
    <t>2.50(1.53-4.08)</t>
  </si>
  <si>
    <t>2.50(1.85-3.38)</t>
  </si>
  <si>
    <t>N2</t>
  </si>
  <si>
    <t>Low-Birth-Weight</t>
  </si>
  <si>
    <t>Salmasi G 2010</t>
  </si>
  <si>
    <t>9/9/0</t>
  </si>
  <si>
    <t>1.11(0.96-1.29)</t>
  </si>
  <si>
    <t>1127/26700</t>
  </si>
  <si>
    <t>1.11 (0.98–1.26)</t>
  </si>
  <si>
    <t>Inf</t>
  </si>
  <si>
    <t>U5</t>
  </si>
  <si>
    <t>Birthweight</t>
  </si>
  <si>
    <t>44/43/1</t>
  </si>
  <si>
    <t>-59.87(-81.75--37.99)</t>
  </si>
  <si>
    <t>WMD</t>
  </si>
  <si>
    <t>-59.87[-81.13-(-38.60)]</t>
  </si>
  <si>
    <t>D12</t>
  </si>
  <si>
    <t>Small size for gestational age</t>
  </si>
  <si>
    <t>Quelhas D 2018</t>
  </si>
  <si>
    <t>52/29/23</t>
  </si>
  <si>
    <t>2.14(1.98-2.32)</t>
  </si>
  <si>
    <t>&gt;60964</t>
  </si>
  <si>
    <t>2.17e-29</t>
  </si>
  <si>
    <t>&gt;60964/6406884</t>
  </si>
  <si>
    <t>2.14 (1.98–2.31)</t>
  </si>
  <si>
    <t>D13</t>
  </si>
  <si>
    <t>14/14/0</t>
  </si>
  <si>
    <t>0.97(0.77-1.20)</t>
  </si>
  <si>
    <t>8753/104196</t>
  </si>
  <si>
    <t>0.97 (0.79–1.18)</t>
  </si>
  <si>
    <t>D14</t>
  </si>
  <si>
    <t>26/26/0</t>
  </si>
  <si>
    <t>1.94(1.73-2.18)</t>
  </si>
  <si>
    <t>9.59e-12</t>
  </si>
  <si>
    <t>5233/30125</t>
  </si>
  <si>
    <t>1.94 (1.74–2.17)</t>
  </si>
  <si>
    <t>U8</t>
  </si>
  <si>
    <t>≤10 cigarettes per day</t>
  </si>
  <si>
    <t>20/11/9</t>
  </si>
  <si>
    <t>1.67(1.54-1.81)</t>
  </si>
  <si>
    <t>&gt;2000/1447521</t>
  </si>
  <si>
    <t>1.67(1.55-1.81)</t>
  </si>
  <si>
    <t>U9</t>
  </si>
  <si>
    <t>&gt;10 cigarettes per day</t>
  </si>
  <si>
    <t>21/11/10</t>
  </si>
  <si>
    <t>2.63(2.25-3.08)</t>
  </si>
  <si>
    <t>&gt;2000/1447641</t>
  </si>
  <si>
    <t>2.63(2.27-3.06)</t>
  </si>
  <si>
    <t>U14</t>
  </si>
  <si>
    <r>
      <rPr>
        <sz val="11"/>
        <color theme="1"/>
        <rFont val="Arial"/>
        <charset val="134"/>
      </rPr>
      <t>Leonardi-Bee J 2008</t>
    </r>
    <r>
      <rPr>
        <sz val="11"/>
        <color theme="1"/>
        <rFont val="宋体"/>
        <charset val="134"/>
      </rPr>
      <t>（前瞻回顾的亚组合并重分析了）</t>
    </r>
  </si>
  <si>
    <t>17/NA</t>
  </si>
  <si>
    <t>1.12(1.00-1.26)</t>
  </si>
  <si>
    <t>&gt;2000/38011</t>
  </si>
  <si>
    <t>1.12(1.00-1.25)</t>
  </si>
  <si>
    <t>U15</t>
  </si>
  <si>
    <t>Gestational age</t>
  </si>
  <si>
    <t>17/17/0</t>
  </si>
  <si>
    <t>0.02(-0.12-0.16)</t>
  </si>
  <si>
    <t>&gt;1000</t>
  </si>
  <si>
    <t>&gt;1000/10270</t>
  </si>
  <si>
    <t>0.02(-0.11-0.15)</t>
  </si>
  <si>
    <t>N3</t>
  </si>
  <si>
    <t>Length at birth</t>
  </si>
  <si>
    <t>40/20/20</t>
  </si>
  <si>
    <t>0.65(0.28-1.02)</t>
  </si>
  <si>
    <t>&gt;2000/51349</t>
  </si>
  <si>
    <t xml:space="preserve"> Random (REML)</t>
  </si>
  <si>
    <t>U10</t>
  </si>
  <si>
    <t>7/NA</t>
  </si>
  <si>
    <t>0.32(0.14-0.51)</t>
  </si>
  <si>
    <t>0.32(0.17-0.47)</t>
  </si>
  <si>
    <t>U11</t>
  </si>
  <si>
    <t>8/NA</t>
  </si>
  <si>
    <t>0.51(0.33-0.69)</t>
  </si>
  <si>
    <t>0.51(0.36-0.67)</t>
  </si>
  <si>
    <t>N4</t>
  </si>
  <si>
    <t>Head circumference at birth</t>
  </si>
  <si>
    <t>37/18/19</t>
  </si>
  <si>
    <t>0.58(0.27-0.89)</t>
  </si>
  <si>
    <t>&gt;2000/46469</t>
  </si>
  <si>
    <t>0.58 (0.28–0.88)</t>
  </si>
  <si>
    <t>U12</t>
  </si>
  <si>
    <t>0.17(0.07-0.26)</t>
  </si>
  <si>
    <t>0.17(0.09-0.24)</t>
  </si>
  <si>
    <t>U13</t>
  </si>
  <si>
    <t>0.35(0.22-0.48)</t>
  </si>
  <si>
    <t>0.35(0.24-0.47)</t>
  </si>
  <si>
    <t>Congenital Malformations</t>
  </si>
  <si>
    <t>N5</t>
  </si>
  <si>
    <t xml:space="preserve">Overall congenital malformations </t>
  </si>
  <si>
    <t>Zheng Z 2019</t>
  </si>
  <si>
    <t>33/0/33</t>
  </si>
  <si>
    <t>1.97(1.55-2.50)</t>
  </si>
  <si>
    <t>2.36e-06</t>
  </si>
  <si>
    <t>31944/64279</t>
  </si>
  <si>
    <t>1.97 (1.56–2.48)</t>
  </si>
  <si>
    <t>N6</t>
  </si>
  <si>
    <t>Congenital heart defects</t>
  </si>
  <si>
    <t>Khalilipalandi S 2024</t>
  </si>
  <si>
    <t>43/38/5</t>
  </si>
  <si>
    <t>1.18(1.09-1.29)</t>
  </si>
  <si>
    <t>&gt;197485</t>
  </si>
  <si>
    <t>&gt;197485/8227726</t>
  </si>
  <si>
    <t>1.18 (1.09–1.28)</t>
  </si>
  <si>
    <t>N7</t>
  </si>
  <si>
    <t>Zhao L 2020</t>
  </si>
  <si>
    <t>36/2/34</t>
  </si>
  <si>
    <t>2.31(1.75-3.07)</t>
  </si>
  <si>
    <t>6.62e-07</t>
  </si>
  <si>
    <t>14185/86359</t>
  </si>
  <si>
    <t>2.31 (1.76–3.04)</t>
  </si>
  <si>
    <t>U16</t>
  </si>
  <si>
    <t>Cleft lip and/or palate</t>
  </si>
  <si>
    <t>Fell M 2021</t>
  </si>
  <si>
    <t>5/2/3</t>
  </si>
  <si>
    <t>1.20(1.07-1.36)</t>
  </si>
  <si>
    <t>4764/103661</t>
  </si>
  <si>
    <t>1.20(1.10-1.31)</t>
  </si>
  <si>
    <t>U17</t>
  </si>
  <si>
    <t>11-20 cigarettes per day</t>
  </si>
  <si>
    <t>1.16(1.01-1.33)</t>
  </si>
  <si>
    <t>1.16(1.06-1.27)</t>
  </si>
  <si>
    <t>U18</t>
  </si>
  <si>
    <t>&gt;20 cigarettes per day</t>
  </si>
  <si>
    <t>1.48(1.11-1.96)</t>
  </si>
  <si>
    <t>1.48(1.21-1.80)</t>
  </si>
  <si>
    <t>N17</t>
  </si>
  <si>
    <t>Orofacial Cleft Spectrum</t>
  </si>
  <si>
    <t>Sabbagh HJ 2023</t>
  </si>
  <si>
    <t>22/1/21</t>
  </si>
  <si>
    <t>1.80(1.45-2.25)</t>
  </si>
  <si>
    <t>2142/120271</t>
  </si>
  <si>
    <t>1.8(1.46-2.23)</t>
  </si>
  <si>
    <t>N24</t>
  </si>
  <si>
    <t xml:space="preserve">Neural tube defects </t>
  </si>
  <si>
    <t>Meng X 2018</t>
  </si>
  <si>
    <t>16/6/10</t>
  </si>
  <si>
    <t>1.06(0.88-1.27)</t>
  </si>
  <si>
    <t>6174/6650071</t>
  </si>
  <si>
    <t>1.06 (0.89–1.26)</t>
  </si>
  <si>
    <t>N8</t>
  </si>
  <si>
    <t>11/2/9</t>
  </si>
  <si>
    <t>1.87(1.46-2.39)</t>
  </si>
  <si>
    <t>3028/55616</t>
  </si>
  <si>
    <t>1.87 (1.50–2.33)</t>
  </si>
  <si>
    <t>N9</t>
  </si>
  <si>
    <t>Musculoskeletal defects</t>
  </si>
  <si>
    <t>Hackshaw A 2011</t>
  </si>
  <si>
    <t>24/5/19</t>
  </si>
  <si>
    <t>1.16(1.04-1.29)</t>
  </si>
  <si>
    <t>41159/8997027</t>
  </si>
  <si>
    <t>1.16 (1.05–1.28)</t>
  </si>
  <si>
    <t>N28</t>
  </si>
  <si>
    <t>Musculoskeletal Defects</t>
  </si>
  <si>
    <t>3/0/3</t>
  </si>
  <si>
    <t>890/2167</t>
  </si>
  <si>
    <t>1.14(0.90-1.46)</t>
  </si>
  <si>
    <t>N10</t>
  </si>
  <si>
    <t>Congenital limb reduction defects</t>
  </si>
  <si>
    <t>Cevik J 2023</t>
  </si>
  <si>
    <t>13/6/7</t>
  </si>
  <si>
    <t>1.27(1.15-1.42)</t>
  </si>
  <si>
    <t>10457/8510875</t>
  </si>
  <si>
    <t>1.27 (1.16–1.40)</t>
  </si>
  <si>
    <t>N25</t>
  </si>
  <si>
    <r>
      <rPr>
        <sz val="11"/>
        <rFont val="Arial"/>
        <charset val="134"/>
      </rPr>
      <t>Congenital Digital Anomalies</t>
    </r>
    <r>
      <rPr>
        <vertAlign val="superscript"/>
        <sz val="11"/>
        <rFont val="Arial"/>
        <charset val="134"/>
      </rPr>
      <t>1 (Polydactyly/syndactyly/adactyly)</t>
    </r>
  </si>
  <si>
    <t>8/3/5</t>
  </si>
  <si>
    <t>1.10(0.90-1.34)</t>
  </si>
  <si>
    <t>16050/13114333</t>
  </si>
  <si>
    <t>1.10 (0.92–1.31)</t>
  </si>
  <si>
    <t>N11</t>
  </si>
  <si>
    <t>Clubfoot</t>
  </si>
  <si>
    <t>11/1/10</t>
  </si>
  <si>
    <t>1.28(1.05-1.57)</t>
  </si>
  <si>
    <t>15673/6659509</t>
  </si>
  <si>
    <t>1.28 (1.07–1.54)</t>
  </si>
  <si>
    <t>N12</t>
  </si>
  <si>
    <t>Digestive defects</t>
  </si>
  <si>
    <t>35/NA</t>
  </si>
  <si>
    <t>1.27(1.18-1.36)</t>
  </si>
  <si>
    <t>11580/9764908</t>
  </si>
  <si>
    <t>N13</t>
  </si>
  <si>
    <t>2/0/2</t>
  </si>
  <si>
    <t>592/6607</t>
  </si>
  <si>
    <t>1.17(0.91-1.51)</t>
  </si>
  <si>
    <t>U22</t>
  </si>
  <si>
    <t>Esophageal atresia</t>
  </si>
  <si>
    <t>Boybeyi O 2025</t>
  </si>
  <si>
    <t>8/0/8</t>
  </si>
  <si>
    <t>4932/NA</t>
  </si>
  <si>
    <t>0.78(0.60-1.01)</t>
  </si>
  <si>
    <t>Random(REML)</t>
  </si>
  <si>
    <t>U23</t>
  </si>
  <si>
    <t>4/0/4</t>
  </si>
  <si>
    <t>1.25(1.12-1.40)</t>
  </si>
  <si>
    <t>&gt;214</t>
  </si>
  <si>
    <t>&gt;214/NA</t>
  </si>
  <si>
    <t>1.25(1.15-1.36)</t>
  </si>
  <si>
    <t>U19</t>
  </si>
  <si>
    <t>Pyloric stenosis</t>
  </si>
  <si>
    <t>Obaid YY 2022</t>
  </si>
  <si>
    <t>6/NA</t>
  </si>
  <si>
    <t>1.75(1.53-2.00)</t>
  </si>
  <si>
    <t>8798/913611</t>
  </si>
  <si>
    <t>1.75(1.58-1.94)</t>
  </si>
  <si>
    <t>N14</t>
  </si>
  <si>
    <r>
      <rPr>
        <sz val="11"/>
        <rFont val="Arial"/>
        <charset val="134"/>
      </rPr>
      <t xml:space="preserve">Bronchopulmonary dysplasia  36 </t>
    </r>
    <r>
      <rPr>
        <vertAlign val="superscript"/>
        <sz val="11"/>
        <rFont val="Arial"/>
        <charset val="134"/>
      </rPr>
      <t>2 (Oxygen requirement at the postmenstrual age of 36 weeks)</t>
    </r>
  </si>
  <si>
    <t>González-Luis GE 2020</t>
  </si>
  <si>
    <t>17/12/5</t>
  </si>
  <si>
    <t>9279/52938</t>
  </si>
  <si>
    <t>1.17 (0.93–1.47)</t>
  </si>
  <si>
    <t>N15</t>
  </si>
  <si>
    <t>Facial defects</t>
  </si>
  <si>
    <t>12/NA</t>
  </si>
  <si>
    <t>5876/3963972</t>
  </si>
  <si>
    <t>1.24(0.99-1.55)</t>
  </si>
  <si>
    <t>N16</t>
  </si>
  <si>
    <t>Eye defects</t>
  </si>
  <si>
    <t>8/6/2</t>
  </si>
  <si>
    <t>1.25(1.06-1.47)</t>
  </si>
  <si>
    <t>4541/3673679</t>
  </si>
  <si>
    <t>1.25 (1.08–1.44)</t>
  </si>
  <si>
    <t>N18</t>
  </si>
  <si>
    <t>Skin defects</t>
  </si>
  <si>
    <t>5/3/2</t>
  </si>
  <si>
    <t>0.82(0.81-0.83)</t>
  </si>
  <si>
    <t>2.53e-06</t>
  </si>
  <si>
    <t>3789/390365</t>
  </si>
  <si>
    <t>0.82 (0.81–0.83)</t>
  </si>
  <si>
    <t>N19</t>
  </si>
  <si>
    <t>Craniosynostosis</t>
  </si>
  <si>
    <t>5/1/4</t>
  </si>
  <si>
    <t>1131/1422295</t>
  </si>
  <si>
    <t>1.33(0.92-1.93)</t>
  </si>
  <si>
    <t>N20</t>
  </si>
  <si>
    <r>
      <rPr>
        <sz val="11"/>
        <rFont val="Arial"/>
        <charset val="134"/>
      </rPr>
      <t>Hernias</t>
    </r>
    <r>
      <rPr>
        <vertAlign val="superscript"/>
        <sz val="11"/>
        <rFont val="Arial"/>
        <charset val="134"/>
      </rPr>
      <t>3 (umbilical/ventral/inguinal)</t>
    </r>
  </si>
  <si>
    <t>4/3/1</t>
  </si>
  <si>
    <t>1.40(1.15-1.70)</t>
  </si>
  <si>
    <t>941/375027</t>
  </si>
  <si>
    <t>1.40 (1.24–1.58)</t>
  </si>
  <si>
    <t>N21</t>
  </si>
  <si>
    <t>Anal atresia</t>
  </si>
  <si>
    <t>7/2/5</t>
  </si>
  <si>
    <t>1.20(1.07-1.34)</t>
  </si>
  <si>
    <t>1679/7786537</t>
  </si>
  <si>
    <t>1.20 (1.10–1.31)</t>
  </si>
  <si>
    <t>N22</t>
  </si>
  <si>
    <t>Cryptorchidism</t>
  </si>
  <si>
    <t>Zhang L 2015</t>
  </si>
  <si>
    <t>25/10/15</t>
  </si>
  <si>
    <t>1.16(1.08-1.25)</t>
  </si>
  <si>
    <t>20161/104711</t>
  </si>
  <si>
    <t>1.16 (1.09–1.25)</t>
  </si>
  <si>
    <t>N23</t>
  </si>
  <si>
    <t>Gastroschisis</t>
  </si>
  <si>
    <t>Baldacci S 2020</t>
  </si>
  <si>
    <t>21/3/18</t>
  </si>
  <si>
    <t>1.57(1.39-1.77)</t>
  </si>
  <si>
    <t>2.14e-07</t>
  </si>
  <si>
    <t>13483/28097227</t>
  </si>
  <si>
    <t>1.57 (1.40–1.76)</t>
  </si>
  <si>
    <t>N26</t>
  </si>
  <si>
    <t>Congenital urogenital malformations</t>
  </si>
  <si>
    <t>40/9/31</t>
  </si>
  <si>
    <t>1.05(0.97-1.14)</t>
  </si>
  <si>
    <t>24081/8260459</t>
  </si>
  <si>
    <t>1.05(0.97-1.13)</t>
  </si>
  <si>
    <t>N27</t>
  </si>
  <si>
    <t>Zhang Q 2022</t>
  </si>
  <si>
    <t>13/0/13</t>
  </si>
  <si>
    <t>&gt;1000/28798</t>
  </si>
  <si>
    <t>1.26(0.99-1.61)</t>
  </si>
  <si>
    <t>U20</t>
  </si>
  <si>
    <t>Hypospadias</t>
  </si>
  <si>
    <t>Ye ZH 2023</t>
  </si>
  <si>
    <t>42/9/33</t>
  </si>
  <si>
    <t>0.98(0.92-1.06)</t>
  </si>
  <si>
    <t>1708105/16633521</t>
  </si>
  <si>
    <t>0.98(0.92-1.05)</t>
  </si>
  <si>
    <t>U21</t>
  </si>
  <si>
    <t>12/1/11</t>
  </si>
  <si>
    <t>1.12(0.86-1.47)</t>
  </si>
  <si>
    <t>18915/101475</t>
  </si>
  <si>
    <t>1.12(0.88-1.42)</t>
  </si>
  <si>
    <t>Circulatory System Disease</t>
  </si>
  <si>
    <t>D15</t>
  </si>
  <si>
    <t>CVD*</t>
  </si>
  <si>
    <t>Zhang D 2020</t>
  </si>
  <si>
    <t>Home, work, or combined exposure</t>
  </si>
  <si>
    <t>52/26/26</t>
  </si>
  <si>
    <t>1.24(1.16-1.31)</t>
  </si>
  <si>
    <t>7.29e-09</t>
  </si>
  <si>
    <t>Adults or children exposed to environmental tobacco smoke</t>
  </si>
  <si>
    <t>58270/1930354</t>
  </si>
  <si>
    <t>1.24 (1.16–1.31)</t>
  </si>
  <si>
    <t>1.73e-06</t>
  </si>
  <si>
    <t>D16</t>
  </si>
  <si>
    <t>per 5 cigarettes/day increment of exposure</t>
  </si>
  <si>
    <t>11/3/8</t>
  </si>
  <si>
    <t>1.05(1.01-1.09)</t>
  </si>
  <si>
    <t>14386/692667</t>
  </si>
  <si>
    <t>1.05 (1.01–1.08)</t>
  </si>
  <si>
    <t>D17</t>
  </si>
  <si>
    <t>per 1 hour/day increment of exposure</t>
  </si>
  <si>
    <t>9/5/4</t>
  </si>
  <si>
    <t>1.19(0.99-1.43)</t>
  </si>
  <si>
    <t>12113/724637</t>
  </si>
  <si>
    <t>D18</t>
  </si>
  <si>
    <t>per 5 years increment of exposure</t>
  </si>
  <si>
    <t>9/3/6</t>
  </si>
  <si>
    <t>1.06(1.02-1.10)</t>
  </si>
  <si>
    <t>2834/186012</t>
  </si>
  <si>
    <t>1.06 (1.03–1.09)</t>
  </si>
  <si>
    <t>D19</t>
  </si>
  <si>
    <t>per 10 pack-years increment of exposure</t>
  </si>
  <si>
    <t>4/2/2</t>
  </si>
  <si>
    <t>1.11(0.94-1.30)</t>
  </si>
  <si>
    <t>9274/621820</t>
  </si>
  <si>
    <t>1.11 (0.99–1.24)</t>
  </si>
  <si>
    <t>D20</t>
  </si>
  <si>
    <t>1 ng/ml increment of cotinine concentration</t>
  </si>
  <si>
    <t>6/5/1</t>
  </si>
  <si>
    <t>1.04(1.02-1.06)</t>
  </si>
  <si>
    <t>1366/22615</t>
  </si>
  <si>
    <t>1.04 (1.02–1.05)</t>
  </si>
  <si>
    <t>N29</t>
  </si>
  <si>
    <t>CHD</t>
  </si>
  <si>
    <t>34/15/19</t>
  </si>
  <si>
    <t>1.25(1.14-1.37)</t>
  </si>
  <si>
    <t>&gt;37917</t>
  </si>
  <si>
    <t>2.11e-05</t>
  </si>
  <si>
    <t>&gt;37917/1386934</t>
  </si>
  <si>
    <t>1.25 (1.14–1.36)</t>
  </si>
  <si>
    <t>1.75e-05</t>
  </si>
  <si>
    <t>N30</t>
  </si>
  <si>
    <t>Stroke</t>
  </si>
  <si>
    <t>Lv X 2015</t>
  </si>
  <si>
    <t>38/21/17</t>
  </si>
  <si>
    <t>1.24(1.16-1.32)</t>
  </si>
  <si>
    <t>&gt;2000/1632805</t>
  </si>
  <si>
    <t>N31</t>
  </si>
  <si>
    <t>Peripheral Artery Disease</t>
  </si>
  <si>
    <t>Wu C 2022</t>
  </si>
  <si>
    <t>6/0/6</t>
  </si>
  <si>
    <t>1.23(1.03-1.46)</t>
  </si>
  <si>
    <t>7703/16480</t>
  </si>
  <si>
    <t>1.23 (1.07–1.40)</t>
  </si>
  <si>
    <t>U24</t>
  </si>
  <si>
    <t>Hypertension</t>
  </si>
  <si>
    <t>Aryanpur M 2019</t>
  </si>
  <si>
    <t>Household smoking exposure</t>
  </si>
  <si>
    <t>4/1/3</t>
  </si>
  <si>
    <t>1.15(0.90-1.46)</t>
  </si>
  <si>
    <t>&gt;803</t>
  </si>
  <si>
    <t>Children exposed to passive smoking at home</t>
  </si>
  <si>
    <t>&gt;803/8846</t>
  </si>
  <si>
    <t>1.15(0.99-1.33)</t>
  </si>
  <si>
    <t>U25</t>
  </si>
  <si>
    <t>1.04(0.80-1.35)</t>
  </si>
  <si>
    <t>&gt;191</t>
  </si>
  <si>
    <t>&gt;191/6847</t>
  </si>
  <si>
    <t>1.04(0.87-1.25)</t>
  </si>
  <si>
    <t>N34</t>
  </si>
  <si>
    <t>Systolic blood pressure</t>
  </si>
  <si>
    <t>Mourino N 2023</t>
  </si>
  <si>
    <t>15/15/0</t>
  </si>
  <si>
    <t>0.31(0.06-0.56)</t>
  </si>
  <si>
    <t>Beta</t>
  </si>
  <si>
    <t>0.31 (0.08–0.54)</t>
  </si>
  <si>
    <t>N35</t>
  </si>
  <si>
    <t>Maternal active smoking during pregnancy/Household smoking and other environmental exposure</t>
  </si>
  <si>
    <t>13/9/4</t>
  </si>
  <si>
    <t>0.26(0.11-0.40)</t>
  </si>
  <si>
    <t>Fetus exposed to passive smoking from maternal active smoking during pregnancy/Children exposed to passive smoking at home or other places</t>
  </si>
  <si>
    <t>0.26 (0.12–0.39)</t>
  </si>
  <si>
    <t>N39</t>
  </si>
  <si>
    <t>Diastolic blood pressure</t>
  </si>
  <si>
    <t>-0.16(-0.99-0.67)</t>
  </si>
  <si>
    <t>-0.16 (-0.80–0.47)</t>
  </si>
  <si>
    <t>N40</t>
  </si>
  <si>
    <t>6/4/2</t>
  </si>
  <si>
    <t>0.05(-0.28-0.38)</t>
  </si>
  <si>
    <t>0.05 (-0.25–0.35)</t>
  </si>
  <si>
    <t>Respiratory System Disease</t>
  </si>
  <si>
    <t>U26</t>
  </si>
  <si>
    <t>Asthma</t>
  </si>
  <si>
    <t>He 2020</t>
  </si>
  <si>
    <t>26/13/13</t>
  </si>
  <si>
    <t>1.36(1.20-1.54)</t>
  </si>
  <si>
    <t>&gt;2000/186789</t>
  </si>
  <si>
    <t>1.36(1.21-1.53)</t>
  </si>
  <si>
    <t>U27</t>
  </si>
  <si>
    <t>11/6/5</t>
  </si>
  <si>
    <t>1.29(1.11-1.50)</t>
  </si>
  <si>
    <t>&gt;1000/65380</t>
  </si>
  <si>
    <t>1.29(1.13-1.48)</t>
  </si>
  <si>
    <t>N42</t>
  </si>
  <si>
    <r>
      <rPr>
        <sz val="11"/>
        <rFont val="Arial"/>
        <charset val="134"/>
      </rPr>
      <t>Asthma</t>
    </r>
    <r>
      <rPr>
        <sz val="11"/>
        <rFont val="宋体"/>
        <charset val="134"/>
      </rPr>
      <t>（无森林图）</t>
    </r>
  </si>
  <si>
    <t>Maternal active/passive smoking during pregnancy</t>
  </si>
  <si>
    <t>30/14/16</t>
  </si>
  <si>
    <t>NA (NA–NA)</t>
  </si>
  <si>
    <t>OR/RR</t>
  </si>
  <si>
    <t>Fetus exposed to passive smoking from maternal active smoking during pregnancy/Both fetus and pregnant mothers exposed to passive smoking during pregnancy</t>
  </si>
  <si>
    <t>&gt;2000/181303</t>
  </si>
  <si>
    <t>?</t>
  </si>
  <si>
    <t>N41</t>
  </si>
  <si>
    <t>Maternal active/passive smoking during pregnancy/Household smoking and other environmental exposure</t>
  </si>
  <si>
    <t>78/59/19</t>
  </si>
  <si>
    <t>Fetus exposed to passive smoking from maternal active smoking during pregnancy/Both fetus and pregnant mothers exposed to passive smoking during pregnancy/Children exposed to passive smoking at home or other places</t>
  </si>
  <si>
    <t>&gt;2000/2606031</t>
  </si>
  <si>
    <t>N43</t>
  </si>
  <si>
    <t>Asthma (Data reanalysis)</t>
  </si>
  <si>
    <t>Household smoking and other environmental exposure</t>
  </si>
  <si>
    <t>45/15/30</t>
  </si>
  <si>
    <t>1.28(1.21-1.36)</t>
  </si>
  <si>
    <t>Children exposed to passive smoking at home or other places</t>
  </si>
  <si>
    <t>&gt;2000/1900730</t>
  </si>
  <si>
    <t>U28</t>
  </si>
  <si>
    <t>Household smoking exposure (Parental smoking)</t>
  </si>
  <si>
    <t>21/7/14</t>
  </si>
  <si>
    <t>1.28(1.14-1.43)</t>
  </si>
  <si>
    <t>Children exposed to passive smoking at home (Parental smoking)</t>
  </si>
  <si>
    <t>&gt;1000/981376</t>
  </si>
  <si>
    <t>N47</t>
  </si>
  <si>
    <t>Asthma-like Syndrome (Data reanalysis)</t>
  </si>
  <si>
    <t>1.40(1.15-1.71)</t>
  </si>
  <si>
    <t>&gt;1000/15514</t>
  </si>
  <si>
    <t>1.40(1.17-1.68)</t>
  </si>
  <si>
    <t>N53</t>
  </si>
  <si>
    <t>Asthma exacerbations</t>
  </si>
  <si>
    <t>Wang Z 2015</t>
  </si>
  <si>
    <t>10/5/5</t>
  </si>
  <si>
    <t>&gt;1958</t>
  </si>
  <si>
    <t>&gt;1958/9045</t>
  </si>
  <si>
    <t>1.92(0.99-3.70)</t>
  </si>
  <si>
    <t>U29</t>
  </si>
  <si>
    <t>Wheeze Incidence</t>
  </si>
  <si>
    <t>12/6/6</t>
  </si>
  <si>
    <t>1.46(1.25-1.71)</t>
  </si>
  <si>
    <t>&gt;2000/81749</t>
  </si>
  <si>
    <t>1.46(1.26-1.69)</t>
  </si>
  <si>
    <t>U30</t>
  </si>
  <si>
    <t>1.46(1.32-1.60)</t>
  </si>
  <si>
    <t>&gt;1000/26886</t>
  </si>
  <si>
    <t>1.46(1.34-1.58)</t>
  </si>
  <si>
    <t>N45</t>
  </si>
  <si>
    <r>
      <rPr>
        <sz val="11"/>
        <rFont val="Arial"/>
        <charset val="134"/>
      </rPr>
      <t>Wheeze Incidence</t>
    </r>
    <r>
      <rPr>
        <sz val="11"/>
        <rFont val="宋体"/>
        <charset val="134"/>
      </rPr>
      <t>（无森林图）</t>
    </r>
  </si>
  <si>
    <t>16/8/8</t>
  </si>
  <si>
    <t>&gt;2000/112010</t>
  </si>
  <si>
    <t>N44</t>
  </si>
  <si>
    <t>33/20/13</t>
  </si>
  <si>
    <t>&gt;2000/401781</t>
  </si>
  <si>
    <t>N46</t>
  </si>
  <si>
    <t>Wheeze Incidence (Data reanalysis)</t>
  </si>
  <si>
    <t>17/4/13</t>
  </si>
  <si>
    <t>1.37(1.27-1.49)</t>
  </si>
  <si>
    <t>&gt;1000/283716</t>
  </si>
  <si>
    <t>1.37(1.27-1.48)</t>
  </si>
  <si>
    <t>U31</t>
  </si>
  <si>
    <t>11/4/7</t>
  </si>
  <si>
    <t>1.28(1.12-1.46)</t>
  </si>
  <si>
    <t>&gt;1000/1302816</t>
  </si>
  <si>
    <t>1.28(1.13-1.45)</t>
  </si>
  <si>
    <t>U32</t>
  </si>
  <si>
    <t>Pneumonia</t>
  </si>
  <si>
    <t>Riestiyowati MA 2020</t>
  </si>
  <si>
    <t>12/0/12</t>
  </si>
  <si>
    <t>1.99(1.31-3.04)</t>
  </si>
  <si>
    <t>Children under five exposed to passive smoking at home</t>
  </si>
  <si>
    <t>&gt;1000/34713</t>
  </si>
  <si>
    <t>1.99(1.37-2.90)</t>
  </si>
  <si>
    <t>N48</t>
  </si>
  <si>
    <t>RSV related ALRI</t>
  </si>
  <si>
    <t>Shi T 2015</t>
  </si>
  <si>
    <t>1.34(1.22-1.46)</t>
  </si>
  <si>
    <t>&gt;7325</t>
  </si>
  <si>
    <t>&gt;7325/38650</t>
  </si>
  <si>
    <t>1.34 (1.25–1.44)</t>
  </si>
  <si>
    <t>N57</t>
  </si>
  <si>
    <t>8/2/6</t>
  </si>
  <si>
    <t>1.29(0.89-1.86)</t>
  </si>
  <si>
    <t>&gt;1296</t>
  </si>
  <si>
    <t>&gt;1296/3006</t>
  </si>
  <si>
    <t>1.29 (0.95–1.75)</t>
  </si>
  <si>
    <t>N49</t>
  </si>
  <si>
    <t>Recurrent respiratory tract infections</t>
  </si>
  <si>
    <t>Wang 2024</t>
  </si>
  <si>
    <t>6/1/5</t>
  </si>
  <si>
    <t>1.13(1.04-1.22)</t>
  </si>
  <si>
    <t>&gt;3472</t>
  </si>
  <si>
    <t>&gt;3472/12425</t>
  </si>
  <si>
    <t>1.13 (1.06–1.20)</t>
  </si>
  <si>
    <t>N50</t>
  </si>
  <si>
    <t>COPD</t>
  </si>
  <si>
    <t>Chen 2023</t>
  </si>
  <si>
    <t>15/3/12</t>
  </si>
  <si>
    <t>2.25(1.30-3.89)</t>
  </si>
  <si>
    <t>5040/25592</t>
  </si>
  <si>
    <t>2.25 (1.36–3.72)</t>
  </si>
  <si>
    <t>N58</t>
  </si>
  <si>
    <t>Rhinoconjunctivitis</t>
  </si>
  <si>
    <t>Thacher JD 2018 (IPD)</t>
  </si>
  <si>
    <t>5/5/0</t>
  </si>
  <si>
    <t>1.04(0.85-1.28)</t>
  </si>
  <si>
    <t>298/6173</t>
  </si>
  <si>
    <t>1.04 (0.90–1.21)</t>
  </si>
  <si>
    <t>N59</t>
  </si>
  <si>
    <t>1.05(0.88-1.25)</t>
  </si>
  <si>
    <t>Infancy exposed to passive smoking at home or other places</t>
  </si>
  <si>
    <t>248/6073</t>
  </si>
  <si>
    <t>1.05 (0.93–1.19)</t>
  </si>
  <si>
    <t>N52</t>
  </si>
  <si>
    <t>Chronic cough</t>
  </si>
  <si>
    <t>Liang H 2022</t>
  </si>
  <si>
    <t>1.44(1.31-1.58)</t>
  </si>
  <si>
    <t>&gt;3855</t>
  </si>
  <si>
    <t>3.01e-07</t>
  </si>
  <si>
    <t>&gt;3855/112422</t>
  </si>
  <si>
    <t>1.44 (1.32–1.57)</t>
  </si>
  <si>
    <t>N54</t>
  </si>
  <si>
    <t>Obstructive Sleep Apnea</t>
  </si>
  <si>
    <t>Chang 2022</t>
  </si>
  <si>
    <t>26/1/25</t>
  </si>
  <si>
    <t>1.51(1.36-1.66)</t>
  </si>
  <si>
    <t>8.53e-09</t>
  </si>
  <si>
    <t>&gt;2000/115080</t>
  </si>
  <si>
    <t>1.51 (1.37–1.66)</t>
  </si>
  <si>
    <t>N55</t>
  </si>
  <si>
    <t>Allergic rhinitis</t>
  </si>
  <si>
    <t>Saulyte J 2014</t>
  </si>
  <si>
    <t>Maternal active smoking during pregnancy/Home, work, or combined exposure</t>
  </si>
  <si>
    <t>63/9/54</t>
  </si>
  <si>
    <t>1.11(1.05-1.18)</t>
  </si>
  <si>
    <t>&gt;5318</t>
  </si>
  <si>
    <t>Fetus exposed to passive smoking from maternal active smoking during pregnancy/Adults or children exposed to environmental tobacco smoke</t>
  </si>
  <si>
    <t>&gt;5318/972444</t>
  </si>
  <si>
    <t>1.11 (1.05–1.17)</t>
  </si>
  <si>
    <t>N56</t>
  </si>
  <si>
    <t>Lung function (FEV1/FVC)</t>
  </si>
  <si>
    <t>Reifenberg J 2023</t>
  </si>
  <si>
    <t>-5.43(-8.54--2.31)</t>
  </si>
  <si>
    <t>MD</t>
  </si>
  <si>
    <t>-5.43 [-7.80–(-3.05)]</t>
  </si>
  <si>
    <t>Cancer</t>
  </si>
  <si>
    <t>D23</t>
  </si>
  <si>
    <t>Lung Cancer*</t>
  </si>
  <si>
    <t>Possenti I 2024(1)</t>
  </si>
  <si>
    <t>82/25/57</t>
  </si>
  <si>
    <t>4.07e-09</t>
  </si>
  <si>
    <t>21740/59236</t>
  </si>
  <si>
    <t>1.24 (1.16–1.32)</t>
  </si>
  <si>
    <t>D40</t>
  </si>
  <si>
    <t>Breast Cancer*</t>
  </si>
  <si>
    <t>Possenti I 2024(2)</t>
  </si>
  <si>
    <t>52/15/37</t>
  </si>
  <si>
    <t>&gt;33502</t>
  </si>
  <si>
    <t>&gt;33502/66926</t>
  </si>
  <si>
    <t>1.25(1.15-1.35)</t>
  </si>
  <si>
    <t>D39</t>
  </si>
  <si>
    <t>Cervical Cancer*</t>
  </si>
  <si>
    <t>Malevolti 2023</t>
  </si>
  <si>
    <t>1.53(1.27-1.83)</t>
  </si>
  <si>
    <t>9.09e-05</t>
  </si>
  <si>
    <t>5352/865192</t>
  </si>
  <si>
    <t>1.53 (1.29–1.81)</t>
  </si>
  <si>
    <t>U3</t>
  </si>
  <si>
    <t>Hodgkin Lymphoma</t>
  </si>
  <si>
    <t>Antonopoulos CN 2011</t>
  </si>
  <si>
    <t>0.90(0.73-1.10)</t>
  </si>
  <si>
    <t>368/9217</t>
  </si>
  <si>
    <t>0.90(0.79-1.02)</t>
  </si>
  <si>
    <t>N33</t>
  </si>
  <si>
    <t>Non-Hodgkin Lymphoma</t>
  </si>
  <si>
    <t>7/1/6</t>
  </si>
  <si>
    <t>1036/1454080</t>
  </si>
  <si>
    <t>1.23(0.99-1.54)</t>
  </si>
  <si>
    <t>U1</t>
  </si>
  <si>
    <t>ALL</t>
  </si>
  <si>
    <t>Klimentopoulou A 2012</t>
  </si>
  <si>
    <t>20/0/20</t>
  </si>
  <si>
    <t>1.03(0.93-1.14)</t>
  </si>
  <si>
    <t>9,167/1,440,542</t>
  </si>
  <si>
    <t>1.03(0.94-1.13)</t>
  </si>
  <si>
    <t>N36</t>
  </si>
  <si>
    <t>Chunxia D 2019</t>
  </si>
  <si>
    <t>Maternal active smoking during pregnancy/Household smoking exposure (Maternal smoking)</t>
  </si>
  <si>
    <t>1.00(0.96-1.05)</t>
  </si>
  <si>
    <t>Fetus exposed to passive smoking from maternal active smoking during pregnancy/Children exposed to passive smoking at home (Maternal smoking)</t>
  </si>
  <si>
    <t>7521/18486</t>
  </si>
  <si>
    <t>1.00 (0.96–1.05)</t>
  </si>
  <si>
    <t>N32</t>
  </si>
  <si>
    <t>Liu R 2011</t>
  </si>
  <si>
    <t>Maternal passive smoking during pregnancy/Household smoking exposure (Paternal smoking)</t>
  </si>
  <si>
    <t>18/0/18</t>
  </si>
  <si>
    <t>1.11(1.05-1.17)</t>
  </si>
  <si>
    <t>Both fetus and pregnant mothers exposed to passive smoking during pregnancy/Children exposed to passive smoking at home (Paternal smoking)</t>
  </si>
  <si>
    <t>8088/25805</t>
  </si>
  <si>
    <t>D21</t>
  </si>
  <si>
    <t>ALL*</t>
  </si>
  <si>
    <t>Cao Y 2020</t>
  </si>
  <si>
    <t>Maternal passive smoking before conception, highest exposure level</t>
  </si>
  <si>
    <t>Highest exposure level</t>
  </si>
  <si>
    <t>1.32(0.88-1.98)</t>
  </si>
  <si>
    <t>Women exposed to passive smoking before conception</t>
  </si>
  <si>
    <t>2936/7165</t>
  </si>
  <si>
    <t>1.32(0.95-1.84)</t>
  </si>
  <si>
    <t>D22</t>
  </si>
  <si>
    <t>Maternal passive smoking during pregnancy, highest exposure level</t>
  </si>
  <si>
    <t xml:space="preserve">Highest exposure level </t>
  </si>
  <si>
    <t>5/0/5</t>
  </si>
  <si>
    <t>1.32(1.01-1.72)</t>
  </si>
  <si>
    <t>2501/7575</t>
  </si>
  <si>
    <t>1.32 (1.10–1.59)</t>
  </si>
  <si>
    <t>U2</t>
  </si>
  <si>
    <t>AML</t>
  </si>
  <si>
    <t>15/0/15</t>
  </si>
  <si>
    <t>0.99(0.88-1.12)</t>
  </si>
  <si>
    <t>1,925/1,440,542</t>
  </si>
  <si>
    <t>0.99(0.89-1.10)</t>
  </si>
  <si>
    <t>N37</t>
  </si>
  <si>
    <t>10/0/10</t>
  </si>
  <si>
    <t>0.92(0.82-1.04)</t>
  </si>
  <si>
    <t>1093/6554</t>
  </si>
  <si>
    <t>0.92 (0.82–1.03)</t>
  </si>
  <si>
    <t>N38</t>
  </si>
  <si>
    <t>7/0/7</t>
  </si>
  <si>
    <t>1.13(0.91-1.41)</t>
  </si>
  <si>
    <t>1.13 (0.93–1.37)</t>
  </si>
  <si>
    <t>N96</t>
  </si>
  <si>
    <t>Bladder Cancer</t>
  </si>
  <si>
    <t>Yan 2018</t>
  </si>
  <si>
    <t>14/3/11</t>
  </si>
  <si>
    <t>1.22(1.07-1.39)</t>
  </si>
  <si>
    <t>Adults exposed to environmental tobacco smoke</t>
  </si>
  <si>
    <t>4002/325264</t>
  </si>
  <si>
    <t>1.22 (1.08–1.37)</t>
  </si>
  <si>
    <t>N97</t>
  </si>
  <si>
    <t>2162/226835</t>
  </si>
  <si>
    <t>1.43(0.96-2.13)</t>
  </si>
  <si>
    <t>N98</t>
  </si>
  <si>
    <t>Kidney Cancer</t>
  </si>
  <si>
    <t>Lee PN 2016</t>
  </si>
  <si>
    <t>&gt;617</t>
  </si>
  <si>
    <t>&gt;617/2729</t>
  </si>
  <si>
    <t>1.33(0.97-1.82)</t>
  </si>
  <si>
    <t>U36</t>
  </si>
  <si>
    <t>Rumrich IK 2016</t>
  </si>
  <si>
    <t>104/513</t>
  </si>
  <si>
    <t>0.96(0.88-1.05)</t>
  </si>
  <si>
    <t>N99</t>
  </si>
  <si>
    <t>Willims tumor</t>
  </si>
  <si>
    <t>Doganis 2020</t>
  </si>
  <si>
    <t>0.92(0.81-1.05)</t>
  </si>
  <si>
    <t>1986/1809875</t>
  </si>
  <si>
    <t>0.92 (0.82–1.04)</t>
  </si>
  <si>
    <t>N100</t>
  </si>
  <si>
    <t>Endometrium Cancer</t>
  </si>
  <si>
    <t>0.88(0.75-1.04)</t>
  </si>
  <si>
    <t>892/401318</t>
  </si>
  <si>
    <t>0.88 (0.78–1.00)</t>
  </si>
  <si>
    <t>N101</t>
  </si>
  <si>
    <t>Ovary Cancer</t>
  </si>
  <si>
    <t>0.91(0.71-1.16)</t>
  </si>
  <si>
    <t>971/227653</t>
  </si>
  <si>
    <t>0.91 (0.76–1.08)</t>
  </si>
  <si>
    <t>N102</t>
  </si>
  <si>
    <t>Germ Cell Tumor (Data reanalysis)</t>
  </si>
  <si>
    <t>0.94(0.57-1.56)</t>
  </si>
  <si>
    <t>641/2714</t>
  </si>
  <si>
    <t>0.94(0.69-1.29)</t>
  </si>
  <si>
    <t>N85</t>
  </si>
  <si>
    <t xml:space="preserve">Head and Neck Cancer </t>
  </si>
  <si>
    <t>Xu F 2024</t>
  </si>
  <si>
    <t>17/0/17</t>
  </si>
  <si>
    <t>1.70(1.25-2.30)</t>
  </si>
  <si>
    <t>11061/34306</t>
  </si>
  <si>
    <t>1.70 (1.27–2.27)</t>
  </si>
  <si>
    <t>D34</t>
  </si>
  <si>
    <t>Oral Cancer</t>
  </si>
  <si>
    <t>Mariano 2022</t>
  </si>
  <si>
    <t>1.51(1.05-2.18)</t>
  </si>
  <si>
    <t>645/3643</t>
  </si>
  <si>
    <t>1.51 (1.21–1.90)</t>
  </si>
  <si>
    <t>D35</t>
  </si>
  <si>
    <t>&lt;2 or 3 h/day</t>
  </si>
  <si>
    <t>286/1400</t>
  </si>
  <si>
    <t>1.65(0.82-3.29)</t>
  </si>
  <si>
    <t>D36</t>
  </si>
  <si>
    <t>&gt;2 or 3 h/day</t>
  </si>
  <si>
    <t>271/1359</t>
  </si>
  <si>
    <t>2.15(0.62-7.51)</t>
  </si>
  <si>
    <t>D37</t>
  </si>
  <si>
    <t xml:space="preserve">&lt;10 or 15 years of exposure </t>
  </si>
  <si>
    <t>289/1777</t>
  </si>
  <si>
    <t>1.56(0.78-3.12)</t>
  </si>
  <si>
    <t>D38</t>
  </si>
  <si>
    <t xml:space="preserve">&gt;10 or 15 years of exposure </t>
  </si>
  <si>
    <t>2.07(1.54-2.80)</t>
  </si>
  <si>
    <t>404/2177</t>
  </si>
  <si>
    <t>2.07 (1.72–2.49)</t>
  </si>
  <si>
    <t>N86</t>
  </si>
  <si>
    <t>Oropharyngeal Cancer</t>
  </si>
  <si>
    <t>2364/29312</t>
  </si>
  <si>
    <t>2.80(0.60-13.02)</t>
  </si>
  <si>
    <t>N87</t>
  </si>
  <si>
    <t>Laryngeal Cancer</t>
  </si>
  <si>
    <t>1.59(1.07-2.37)</t>
  </si>
  <si>
    <t>864/11634</t>
  </si>
  <si>
    <t>1.59 (1.25–2.03)</t>
  </si>
  <si>
    <t>N88</t>
  </si>
  <si>
    <t>Hypopharyngeal Cancer</t>
  </si>
  <si>
    <t>319/19585</t>
  </si>
  <si>
    <t>2.60(0.88-7.69)</t>
  </si>
  <si>
    <t>N94</t>
  </si>
  <si>
    <t>Nasopharyngeal Cancer</t>
  </si>
  <si>
    <t>1.19(0.56-2.52)</t>
  </si>
  <si>
    <t>3437/7481</t>
  </si>
  <si>
    <t>1.19 (0.70–2.02)</t>
  </si>
  <si>
    <t>N78</t>
  </si>
  <si>
    <t>Brain Tumor</t>
  </si>
  <si>
    <t>Onyije FM 2024</t>
  </si>
  <si>
    <t>22/5/17</t>
  </si>
  <si>
    <t>1.06(0.93-1.21)</t>
  </si>
  <si>
    <t>OR/RR/HR</t>
  </si>
  <si>
    <t>4779/3750162</t>
  </si>
  <si>
    <t>1.06(0.94-1.20)</t>
  </si>
  <si>
    <t>N67</t>
  </si>
  <si>
    <t>Oldereid NB 2018</t>
  </si>
  <si>
    <t>14/0/14</t>
  </si>
  <si>
    <t>1.12(1.04-1.22)</t>
  </si>
  <si>
    <t>6237/18246</t>
  </si>
  <si>
    <t>1.12(1.05-1.21)</t>
  </si>
  <si>
    <t>N60</t>
  </si>
  <si>
    <t>Pancreatic Cancer</t>
  </si>
  <si>
    <t>Wang X 2024</t>
  </si>
  <si>
    <t>14/8/6</t>
  </si>
  <si>
    <t>1.20(1.10-1.32)</t>
  </si>
  <si>
    <t>5560/1028403</t>
  </si>
  <si>
    <t>N61</t>
  </si>
  <si>
    <t>Colorectal Cancer</t>
  </si>
  <si>
    <t>Yang 2016</t>
  </si>
  <si>
    <t>1.17(1.06-1.29)</t>
  </si>
  <si>
    <t>7344/421676</t>
  </si>
  <si>
    <t>1.17 (1.07–1.28)</t>
  </si>
  <si>
    <t>N66</t>
  </si>
  <si>
    <t>Gastric Cancer</t>
  </si>
  <si>
    <t>1.02(0.93-1.11)</t>
  </si>
  <si>
    <t>&gt;2000/379627</t>
  </si>
  <si>
    <t>1.02 (0.95–1.09)</t>
  </si>
  <si>
    <t>N65</t>
  </si>
  <si>
    <t>Liver Cancer</t>
  </si>
  <si>
    <t>0.84(0.56-1.26)</t>
  </si>
  <si>
    <t>496/171185</t>
  </si>
  <si>
    <t>0.84 (0.63–1.12)</t>
  </si>
  <si>
    <t>N122</t>
  </si>
  <si>
    <t>Soft Tissue Sarcoma (Data reanalysis)</t>
  </si>
  <si>
    <t>0.91(0.70-1.18)</t>
  </si>
  <si>
    <t>562/4010</t>
  </si>
  <si>
    <t>0.91(0.76-1.09)</t>
  </si>
  <si>
    <t>N123</t>
  </si>
  <si>
    <t>Bone Tumor (Data reanalysis)</t>
  </si>
  <si>
    <t>0.79(0.03-22.50)</t>
  </si>
  <si>
    <t>138/2902</t>
  </si>
  <si>
    <t>0.79(0.47-1.32)</t>
  </si>
  <si>
    <t>Neurological and Psychiatric Disorders</t>
  </si>
  <si>
    <t>N68</t>
  </si>
  <si>
    <t>Neurodevelopmental disorders</t>
  </si>
  <si>
    <t>Ou XX 2024</t>
  </si>
  <si>
    <t>23/7/16</t>
  </si>
  <si>
    <t>1.56(1.26-1.92)</t>
  </si>
  <si>
    <t>8095/220929</t>
  </si>
  <si>
    <t>1.56(1.27-1.90)</t>
  </si>
  <si>
    <t>N79</t>
  </si>
  <si>
    <t>3/2/1</t>
  </si>
  <si>
    <t>0.99(0.95-1.04)</t>
  </si>
  <si>
    <t>&gt;116</t>
  </si>
  <si>
    <t>Children exposed to passive smoking at home or other places in the first year of life</t>
  </si>
  <si>
    <t>&gt;116/6493</t>
  </si>
  <si>
    <t>0.99 (0.96–1.03)</t>
  </si>
  <si>
    <t>N69</t>
  </si>
  <si>
    <t>8/1/7</t>
  </si>
  <si>
    <t>1.47(1.24-1.76)</t>
  </si>
  <si>
    <t>Children exposed to passive smoking at home or other places after the first year of life</t>
  </si>
  <si>
    <t>12818/195729</t>
  </si>
  <si>
    <t>1.47 (1.26–1.72)</t>
  </si>
  <si>
    <t>D24</t>
  </si>
  <si>
    <t>ADHD</t>
  </si>
  <si>
    <t>Mohammadian M 2025</t>
  </si>
  <si>
    <t>55/31/24</t>
  </si>
  <si>
    <t>1.72(1.53-1.94)</t>
  </si>
  <si>
    <t>87794/4985187</t>
  </si>
  <si>
    <t>1.72(1.53-1.93)</t>
  </si>
  <si>
    <t>D25</t>
  </si>
  <si>
    <t>Huang L 2018</t>
  </si>
  <si>
    <t>1-10 cigerettes/day</t>
  </si>
  <si>
    <t>1.60(1.50-1.72)</t>
  </si>
  <si>
    <t>&gt;14893</t>
  </si>
  <si>
    <t>1.1e-05</t>
  </si>
  <si>
    <t>&gt;14893/1865760</t>
  </si>
  <si>
    <t>1.60 (1.52–1.69)</t>
  </si>
  <si>
    <t>D26</t>
  </si>
  <si>
    <t>&gt;10 cigerettes/day</t>
  </si>
  <si>
    <t>1.68(1.22-2.29)</t>
  </si>
  <si>
    <t>1.68 (1.32–2.13)</t>
  </si>
  <si>
    <t>N70</t>
  </si>
  <si>
    <t>7/6/1</t>
  </si>
  <si>
    <t>1.20(1.07-1.35)</t>
  </si>
  <si>
    <t>&gt;4406</t>
  </si>
  <si>
    <t>&gt;4406/202969</t>
  </si>
  <si>
    <t>1.20 (1.10–1.32)</t>
  </si>
  <si>
    <t>N71</t>
  </si>
  <si>
    <t>Huang A 2021</t>
  </si>
  <si>
    <t>9/2/7</t>
  </si>
  <si>
    <t>1.61(1.33-1.95)</t>
  </si>
  <si>
    <t>6663/107151</t>
  </si>
  <si>
    <t>1.61 (1.36–1.90)</t>
  </si>
  <si>
    <t>N80</t>
  </si>
  <si>
    <t>2/2/0</t>
  </si>
  <si>
    <t>1.01(0.83-1.22)</t>
  </si>
  <si>
    <t>&gt;107</t>
  </si>
  <si>
    <t>&gt;107/5419</t>
  </si>
  <si>
    <t>1.01 (0.92–1.10)</t>
  </si>
  <si>
    <t>N81</t>
  </si>
  <si>
    <t>1.21(0.44-3.31)</t>
  </si>
  <si>
    <t>7885/79252</t>
  </si>
  <si>
    <t>1.21 (0.76–1.91)</t>
  </si>
  <si>
    <t>D27</t>
  </si>
  <si>
    <t>Depressive Symptoms*</t>
  </si>
  <si>
    <t xml:space="preserve">Han C 2019 </t>
  </si>
  <si>
    <t>24/2/22</t>
  </si>
  <si>
    <t>1.39(1.28-1.51)</t>
  </si>
  <si>
    <t>1.76e-08</t>
  </si>
  <si>
    <t>&gt;2000/347882</t>
  </si>
  <si>
    <t>1.39 (1.29–1.50)</t>
  </si>
  <si>
    <t>D28</t>
  </si>
  <si>
    <t>&lt;1 h/day</t>
  </si>
  <si>
    <t>0.98(0.87-1.11)</t>
  </si>
  <si>
    <t>5140/52538</t>
  </si>
  <si>
    <t>0.98 (0.90–1.08)</t>
  </si>
  <si>
    <t>D29</t>
  </si>
  <si>
    <t>≥1 h/day</t>
  </si>
  <si>
    <t>1.49(1.32-1.70)</t>
  </si>
  <si>
    <t>2220/35898</t>
  </si>
  <si>
    <t>1.49 (1.35–1.66)</t>
  </si>
  <si>
    <t>D30</t>
  </si>
  <si>
    <t xml:space="preserve">1-3 days/week </t>
  </si>
  <si>
    <t>2.03(1.72-2.41)</t>
  </si>
  <si>
    <t>106/861</t>
  </si>
  <si>
    <t>2.03 (1.83–2.26)</t>
  </si>
  <si>
    <t>D31</t>
  </si>
  <si>
    <t>1-4 days/week</t>
  </si>
  <si>
    <t>1.22(1.15-1.31)</t>
  </si>
  <si>
    <t>1016/3055</t>
  </si>
  <si>
    <t>1.22 (1.17–1.28)</t>
  </si>
  <si>
    <t>D32</t>
  </si>
  <si>
    <t xml:space="preserve">4-7 days/week </t>
  </si>
  <si>
    <t>2.57(2.25-2.92)</t>
  </si>
  <si>
    <t>100/936</t>
  </si>
  <si>
    <t>2.57 (2.37–2.78)</t>
  </si>
  <si>
    <t>D33</t>
  </si>
  <si>
    <t>5-7 days/week</t>
  </si>
  <si>
    <t>1.61(1.30-1.99)</t>
  </si>
  <si>
    <t>734/1802</t>
  </si>
  <si>
    <t>1.61 (1.38–1.87)</t>
  </si>
  <si>
    <t>N83</t>
  </si>
  <si>
    <t xml:space="preserve">Autism Spectrum Disorder </t>
  </si>
  <si>
    <t>Tang S 2015</t>
  </si>
  <si>
    <t>14/5/9</t>
  </si>
  <si>
    <t>1.02(0.90-1.17)</t>
  </si>
  <si>
    <t>17890/1810258</t>
  </si>
  <si>
    <t>1.02(0.91-1.16)</t>
  </si>
  <si>
    <t>N82</t>
  </si>
  <si>
    <t>Jung Y 2017</t>
  </si>
  <si>
    <t>22/7/15</t>
  </si>
  <si>
    <t>1.16(0.95-1.43)</t>
  </si>
  <si>
    <t>15746/1829256</t>
  </si>
  <si>
    <t>1.16 (0.96–1.41)</t>
  </si>
  <si>
    <r>
      <rPr>
        <sz val="11"/>
        <color theme="1"/>
        <rFont val="Arial"/>
        <charset val="134"/>
      </rPr>
      <t>Random</t>
    </r>
    <r>
      <rPr>
        <sz val="11"/>
        <color theme="1"/>
        <rFont val="宋体"/>
        <charset val="134"/>
      </rPr>
      <t>（</t>
    </r>
    <r>
      <rPr>
        <sz val="11"/>
        <color theme="1"/>
        <rFont val="Arial"/>
        <charset val="134"/>
      </rPr>
      <t>REML)</t>
    </r>
  </si>
  <si>
    <t>N84</t>
  </si>
  <si>
    <t>0.99(0.93-1.05)</t>
  </si>
  <si>
    <t>NA/6181</t>
  </si>
  <si>
    <t>0.99 (0.96–1.02)</t>
  </si>
  <si>
    <t>N72</t>
  </si>
  <si>
    <t>2/1/1</t>
  </si>
  <si>
    <t>1.39(1.02-1.90)</t>
  </si>
  <si>
    <t>1410/61489</t>
  </si>
  <si>
    <t>1.39 (1.20–1.60)</t>
  </si>
  <si>
    <t>N73</t>
  </si>
  <si>
    <t>Tourette Syndrome/Chronic tic disorders</t>
  </si>
  <si>
    <t>Ayubi E 2021(1)</t>
  </si>
  <si>
    <t>1.43(1.05-1.93)</t>
  </si>
  <si>
    <t xml:space="preserve">8258/3106024 </t>
  </si>
  <si>
    <t>1.43 (1.12–1.82)</t>
  </si>
  <si>
    <t>N74</t>
  </si>
  <si>
    <t>Parkinson Disease</t>
  </si>
  <si>
    <t>Han C 2020</t>
  </si>
  <si>
    <t>0.85(0.72-0.99)</t>
  </si>
  <si>
    <t>1756/412348</t>
  </si>
  <si>
    <t>0.85 (0.73–0.98)</t>
  </si>
  <si>
    <t>N75</t>
  </si>
  <si>
    <t>Schizophrenia</t>
  </si>
  <si>
    <t>Hunter A 2020</t>
  </si>
  <si>
    <t>1.29(1.02-1.63)</t>
  </si>
  <si>
    <t>10278/2444910</t>
  </si>
  <si>
    <t>1.29 (1.07–1.55)</t>
  </si>
  <si>
    <t>N76</t>
  </si>
  <si>
    <t>Psychological Distress</t>
  </si>
  <si>
    <t>Zeng YN 2016</t>
  </si>
  <si>
    <t>1.32(1.02-1.72)</t>
  </si>
  <si>
    <t>5754/30519</t>
  </si>
  <si>
    <t>1.32 (1.13–1.55)</t>
  </si>
  <si>
    <t>N77</t>
  </si>
  <si>
    <t>Epilepsy</t>
  </si>
  <si>
    <t xml:space="preserve">Ketata I 2024 </t>
  </si>
  <si>
    <t>3/1/2</t>
  </si>
  <si>
    <t>1.99(0.30-13.13)</t>
  </si>
  <si>
    <t>872/125377</t>
  </si>
  <si>
    <t>1.99 (0.84–4.69)</t>
  </si>
  <si>
    <t>Endocrine and metabolic diseases</t>
  </si>
  <si>
    <t>D41</t>
  </si>
  <si>
    <t>Diabetes*</t>
  </si>
  <si>
    <t>Sun K 2014</t>
  </si>
  <si>
    <t>1.22(1.03-1.45)</t>
  </si>
  <si>
    <t>7116/154406</t>
  </si>
  <si>
    <t>N103</t>
  </si>
  <si>
    <t>Type I Diabetes</t>
  </si>
  <si>
    <t>Edstorp 2022</t>
  </si>
  <si>
    <t>19/8/11</t>
  </si>
  <si>
    <t>0.80(0.68-0.93)</t>
  </si>
  <si>
    <t>&gt;25608</t>
  </si>
  <si>
    <t>&gt;25608/2185564</t>
  </si>
  <si>
    <t>0.80 (0.69–0.92)</t>
  </si>
  <si>
    <t>N108</t>
  </si>
  <si>
    <t>0.93(0.78-1.12)</t>
  </si>
  <si>
    <t>1656/198210</t>
  </si>
  <si>
    <t>0.93 (0.79–1.09)</t>
  </si>
  <si>
    <t>N104</t>
  </si>
  <si>
    <t>Type II Diabetes</t>
  </si>
  <si>
    <t>Qin 2023</t>
  </si>
  <si>
    <t>10/10/0</t>
  </si>
  <si>
    <t>1.28(1.17-1.40)</t>
  </si>
  <si>
    <t>11466/101684</t>
  </si>
  <si>
    <t>1.28 (1.18–1.38)</t>
  </si>
  <si>
    <t>N105</t>
  </si>
  <si>
    <t>Gestational Diabetes</t>
  </si>
  <si>
    <t>Zhang 2023</t>
  </si>
  <si>
    <t>1.47(1.31-1.66)</t>
  </si>
  <si>
    <t>3.91e-05</t>
  </si>
  <si>
    <t>Pregnant mothers exposed to environmental tobacco smoke</t>
  </si>
  <si>
    <t>4565/30795</t>
  </si>
  <si>
    <t>1.47 (1.33–1.63)</t>
  </si>
  <si>
    <t>U38</t>
  </si>
  <si>
    <t>Overweight/obesity*</t>
  </si>
  <si>
    <t>Albers L 2018(1)  (IPD)</t>
  </si>
  <si>
    <t>Per cigarette increase (up to 15 cigarettes per day)</t>
  </si>
  <si>
    <t>16/NA</t>
  </si>
  <si>
    <t>&gt;2000/238,340</t>
  </si>
  <si>
    <t>1.03(1.02–1.03)</t>
  </si>
  <si>
    <t>D43</t>
  </si>
  <si>
    <t>Overweight/obesity</t>
  </si>
  <si>
    <t>Magalhães EIDS 2019</t>
  </si>
  <si>
    <t>50/31/19</t>
  </si>
  <si>
    <t>1.45(1.34-1.56)</t>
  </si>
  <si>
    <t>1.69e-14</t>
  </si>
  <si>
    <t>&gt;2000/701766</t>
  </si>
  <si>
    <t>1.45 (1.35–1.55)</t>
  </si>
  <si>
    <t>D44</t>
  </si>
  <si>
    <t>1.20(1.03-1.39)</t>
  </si>
  <si>
    <t>11241/59299</t>
  </si>
  <si>
    <t>1.20 (1.06–1.36)</t>
  </si>
  <si>
    <t>D45</t>
  </si>
  <si>
    <t>22/22/0</t>
  </si>
  <si>
    <t>1.43(1.31-1.56)</t>
  </si>
  <si>
    <t>4.27e-08</t>
  </si>
  <si>
    <t>3486/13083</t>
  </si>
  <si>
    <t>1.43 (1.31–1.55)</t>
  </si>
  <si>
    <t>U39</t>
  </si>
  <si>
    <t>BMI scores*</t>
  </si>
  <si>
    <t>Albers L 2018(2)  (IPD)</t>
  </si>
  <si>
    <t>Per cigarette increase (up to 30 cigarettes per day)</t>
  </si>
  <si>
    <t>5/NA</t>
  </si>
  <si>
    <t>SD</t>
  </si>
  <si>
    <t>&gt;2000/45299</t>
  </si>
  <si>
    <t>0.007(0.006-0.009)</t>
  </si>
  <si>
    <t>N125</t>
  </si>
  <si>
    <t>BMI scores</t>
  </si>
  <si>
    <t>27/25/2</t>
  </si>
  <si>
    <t>0.31(0.22-0.40)</t>
  </si>
  <si>
    <t>SE</t>
  </si>
  <si>
    <t>2.73e-08</t>
  </si>
  <si>
    <t>&gt;2000/238034</t>
  </si>
  <si>
    <t>0.31 (0.23–0.39)</t>
  </si>
  <si>
    <t>Other Outcomes</t>
  </si>
  <si>
    <t>N62</t>
  </si>
  <si>
    <t>Non-alcoholic fatty liver disease</t>
  </si>
  <si>
    <t>He X 2024</t>
  </si>
  <si>
    <t>2024/10199</t>
  </si>
  <si>
    <t>1.53(0.82-2.86)</t>
  </si>
  <si>
    <t>N63</t>
  </si>
  <si>
    <t>Crohn Disease</t>
  </si>
  <si>
    <t>Thacker N 2024</t>
  </si>
  <si>
    <t>392/849</t>
  </si>
  <si>
    <t>1.67(0.92-3.06)</t>
  </si>
  <si>
    <t>N64</t>
  </si>
  <si>
    <t>IBD</t>
  </si>
  <si>
    <t>2.39(1.10-5.20)</t>
  </si>
  <si>
    <t>1253/1325</t>
  </si>
  <si>
    <t>2.39 (1.68–3.41)</t>
  </si>
  <si>
    <t>U35</t>
  </si>
  <si>
    <t>Jones DT 2008</t>
  </si>
  <si>
    <t>11/0/11</t>
  </si>
  <si>
    <t>1.06(0.92-1.21)</t>
  </si>
  <si>
    <t>&gt;5969</t>
  </si>
  <si>
    <t>&gt;5969/10425</t>
  </si>
  <si>
    <t>1.06(0.93-1.20)</t>
  </si>
  <si>
    <t>D42</t>
  </si>
  <si>
    <t>Rheumatoid Arthritis</t>
  </si>
  <si>
    <t>Zhang X 2023</t>
  </si>
  <si>
    <t>&gt;11003</t>
  </si>
  <si>
    <t>&gt;11003/357832</t>
  </si>
  <si>
    <t>1.15(0.98-1.35)</t>
  </si>
  <si>
    <t>N109</t>
  </si>
  <si>
    <t>Multiple Sclerosis</t>
  </si>
  <si>
    <t>Badihian N 2021</t>
  </si>
  <si>
    <t>1.01(0.73-1.40)</t>
  </si>
  <si>
    <t>755/5617</t>
  </si>
  <si>
    <t>1.01(0.76-1.34)</t>
  </si>
  <si>
    <t>N89</t>
  </si>
  <si>
    <t>Middle Ear Disease</t>
  </si>
  <si>
    <t>Jones LL 2012</t>
  </si>
  <si>
    <t>49/18/31</t>
  </si>
  <si>
    <t>1.36(1.24-1.50)</t>
  </si>
  <si>
    <t>7.1e-08</t>
  </si>
  <si>
    <t>&gt;2000/130200</t>
  </si>
  <si>
    <t>1.36 (1.24–1.50)</t>
  </si>
  <si>
    <t>N95</t>
  </si>
  <si>
    <t xml:space="preserve">Chronic Suppurative Otitis Media </t>
  </si>
  <si>
    <t>Heward E 2024</t>
  </si>
  <si>
    <t>1.27(0.51-3.19)</t>
  </si>
  <si>
    <t>344/1015</t>
  </si>
  <si>
    <t>1.27 (0.84–1.93)</t>
  </si>
  <si>
    <t>N90</t>
  </si>
  <si>
    <t>Caries</t>
  </si>
  <si>
    <t>Samani D 2024</t>
  </si>
  <si>
    <t>12/7/5</t>
  </si>
  <si>
    <t>1.78(1.58-2.01)</t>
  </si>
  <si>
    <t>3.8e-07</t>
  </si>
  <si>
    <t xml:space="preserve">&gt;2000/90405 </t>
  </si>
  <si>
    <t>1.78 (1.60–1.98)</t>
  </si>
  <si>
    <t>N91</t>
  </si>
  <si>
    <t>González 2018</t>
  </si>
  <si>
    <t>1.53(1.39-1.68)</t>
  </si>
  <si>
    <t>6.55e-10</t>
  </si>
  <si>
    <t>&gt;2000/238680</t>
  </si>
  <si>
    <t>1.53 (1.40–1.67)</t>
  </si>
  <si>
    <t>N92</t>
  </si>
  <si>
    <t>Luo BW 2025</t>
  </si>
  <si>
    <t>15/2/13</t>
  </si>
  <si>
    <t>1.69(1.47-1.94)</t>
  </si>
  <si>
    <t>&gt;2000/117864</t>
  </si>
  <si>
    <t>1.69(1.49-1.92)</t>
  </si>
  <si>
    <t>N93</t>
  </si>
  <si>
    <t>Periodontal disease</t>
  </si>
  <si>
    <t>Akinkugbe AA 2016</t>
  </si>
  <si>
    <t>1.34(1.15-1.57)</t>
  </si>
  <si>
    <t>&gt;1442</t>
  </si>
  <si>
    <t>&gt;1442/75498</t>
  </si>
  <si>
    <t>1.34 (1.18–1.53)</t>
  </si>
  <si>
    <t>N106</t>
  </si>
  <si>
    <t>Atopic dermatitis/eczema</t>
  </si>
  <si>
    <t>58/14/44</t>
  </si>
  <si>
    <t>1.08(1.02-1.15)</t>
  </si>
  <si>
    <t>&gt;77261</t>
  </si>
  <si>
    <t>&gt;77261/988121</t>
  </si>
  <si>
    <t>1.08 (1.02–1.14)</t>
  </si>
  <si>
    <t>N110</t>
  </si>
  <si>
    <t>Lau HX 2023</t>
  </si>
  <si>
    <t>17/13/4</t>
  </si>
  <si>
    <t>0.92(0.85-1.00)</t>
  </si>
  <si>
    <t>19263/116782</t>
  </si>
  <si>
    <t>0.92 (0.85–0.99)</t>
  </si>
  <si>
    <t>N111</t>
  </si>
  <si>
    <t>1.05(0.79-1.39)</t>
  </si>
  <si>
    <t>1695/20641</t>
  </si>
  <si>
    <t>1.05 (0.85–1.28)</t>
  </si>
  <si>
    <t>N112</t>
  </si>
  <si>
    <t>1.01(0.90-1.13)</t>
  </si>
  <si>
    <t>2713/11333</t>
  </si>
  <si>
    <t>1.01 (0.91–1.12)</t>
  </si>
  <si>
    <t>N113</t>
  </si>
  <si>
    <t>Food Allergy</t>
  </si>
  <si>
    <t>0.94(0.47-1.87)</t>
  </si>
  <si>
    <t>16290/36816</t>
  </si>
  <si>
    <t>0.94 (0.56–1.59)</t>
  </si>
  <si>
    <t>N114</t>
  </si>
  <si>
    <t>1.16(0.82-1.64)</t>
  </si>
  <si>
    <t>&gt;765</t>
  </si>
  <si>
    <t>&gt;765/9268</t>
  </si>
  <si>
    <t>1.16 (0.89–1.52)</t>
  </si>
  <si>
    <t>U37</t>
  </si>
  <si>
    <t>Allergic sensitisation</t>
  </si>
  <si>
    <t>Feleszko W 2014</t>
  </si>
  <si>
    <t>10/2/8</t>
  </si>
  <si>
    <t>1.15(1.04-1.28)</t>
  </si>
  <si>
    <t>&gt;1000/11766</t>
  </si>
  <si>
    <t>1.15(1.05-1.27)</t>
  </si>
  <si>
    <t>N107</t>
  </si>
  <si>
    <t>Invasive meningococcal disease</t>
  </si>
  <si>
    <t>Lee CC 2010</t>
  </si>
  <si>
    <t>16/0/16</t>
  </si>
  <si>
    <t>2.13(1.42-3.18)</t>
  </si>
  <si>
    <t>1948/15682</t>
  </si>
  <si>
    <t>2.13 (1.46–3.08)</t>
  </si>
  <si>
    <t>N115</t>
  </si>
  <si>
    <t>Pneumococcal disease</t>
  </si>
  <si>
    <t>1.21(0.47-3.10)</t>
  </si>
  <si>
    <t>412/1254</t>
  </si>
  <si>
    <t>1.21 (0.68–2.16)</t>
  </si>
  <si>
    <t>N116</t>
  </si>
  <si>
    <t>Hib disease</t>
  </si>
  <si>
    <t>1.22(0.87-1.73)</t>
  </si>
  <si>
    <t>1228/4304</t>
  </si>
  <si>
    <t>1.22 (0.90–1.66)</t>
  </si>
  <si>
    <t>N51</t>
  </si>
  <si>
    <t>Tuberculosis (Data reanalysis)</t>
  </si>
  <si>
    <t>Obore 2020</t>
  </si>
  <si>
    <t>2.20(1.17-4.15)</t>
  </si>
  <si>
    <t>&gt;1430</t>
  </si>
  <si>
    <t>&gt;1430/10999</t>
  </si>
  <si>
    <t>2.20(1.30-3.72)</t>
  </si>
  <si>
    <t>U33</t>
  </si>
  <si>
    <t>Latent tuberculosis infection</t>
  </si>
  <si>
    <t>Patra J 2015</t>
  </si>
  <si>
    <t>1065/8895</t>
  </si>
  <si>
    <t>1.68(0.99-2.85)</t>
  </si>
  <si>
    <t>U34</t>
  </si>
  <si>
    <t>Active tuberculosis disease</t>
  </si>
  <si>
    <t>12/2/10</t>
  </si>
  <si>
    <t>1.99(1.27-3.12)</t>
  </si>
  <si>
    <t>1619/54643</t>
  </si>
  <si>
    <t>1.99(1.32-3.00)</t>
  </si>
  <si>
    <t>N117</t>
  </si>
  <si>
    <t>Juvenile Idiopathic Arthritis</t>
  </si>
  <si>
    <t>Zhao W 2023</t>
  </si>
  <si>
    <t>0.66(0.47-0.92)</t>
  </si>
  <si>
    <t>304/2901</t>
  </si>
  <si>
    <t>0.66 (0.53–0.81)</t>
  </si>
  <si>
    <t>N118</t>
  </si>
  <si>
    <t>&gt;20 cigarettes/day</t>
  </si>
  <si>
    <t>192/6628</t>
  </si>
  <si>
    <t>0.66 (0.56–0.76)</t>
  </si>
  <si>
    <t>N119</t>
  </si>
  <si>
    <t>Legg-Calvè-Perthes disease</t>
  </si>
  <si>
    <t>Gao H 2020</t>
  </si>
  <si>
    <t>1.68(1.34-2.11)</t>
  </si>
  <si>
    <t>1041/5603</t>
  </si>
  <si>
    <t>1.68 (1.52–1.87)</t>
  </si>
  <si>
    <t>N120</t>
  </si>
  <si>
    <t>304/61790</t>
  </si>
  <si>
    <t>2.03(0.86-4.79)</t>
  </si>
  <si>
    <t>N121</t>
  </si>
  <si>
    <t>2.57(1.51-4.38)</t>
  </si>
  <si>
    <t>622/1517</t>
  </si>
  <si>
    <t>2.57 (1.71–3.86)</t>
  </si>
  <si>
    <t>N124</t>
  </si>
  <si>
    <t>Bone fractures</t>
  </si>
  <si>
    <t>Ayubi E 2021(2)</t>
  </si>
  <si>
    <t>3/3/0</t>
  </si>
  <si>
    <t>1.17(0.51-2.65)</t>
  </si>
  <si>
    <t>869/8272</t>
  </si>
  <si>
    <t>1.17 (0.80–1.69)</t>
  </si>
  <si>
    <t>D46</t>
  </si>
  <si>
    <t xml:space="preserve">Offspring visual problems </t>
  </si>
  <si>
    <t>Yang Y 2019</t>
  </si>
  <si>
    <t>1.54(1.34-1.78)</t>
  </si>
  <si>
    <t>4.21e-06</t>
  </si>
  <si>
    <t>4833/94953</t>
  </si>
  <si>
    <t>1.54 (1.35–1.76)</t>
  </si>
  <si>
    <t>D47</t>
  </si>
  <si>
    <t>1-9 cigerettes/day</t>
  </si>
  <si>
    <t>1.17(1.08-1.26)</t>
  </si>
  <si>
    <t>3718/60893</t>
  </si>
  <si>
    <t>1.17 (1.11–1.24)</t>
  </si>
  <si>
    <t>D48</t>
  </si>
  <si>
    <t>≥10 cigerettes/day</t>
  </si>
  <si>
    <t>1.80(1.02-3.19)</t>
  </si>
  <si>
    <t>1.80 (1.21–2.70)</t>
  </si>
  <si>
    <t>N126</t>
  </si>
  <si>
    <t>Offspring Conduct Problems</t>
  </si>
  <si>
    <t>Ruisch IH 2018</t>
  </si>
  <si>
    <t>25/8/17</t>
  </si>
  <si>
    <t>1.99(1.69-2.35)</t>
  </si>
  <si>
    <t>1.01e-08</t>
  </si>
  <si>
    <t>&gt;2000/115297</t>
  </si>
  <si>
    <t>1.99 (1.70–2.33)</t>
  </si>
  <si>
    <t>N127</t>
  </si>
  <si>
    <t xml:space="preserve">Offspring tobacco smoking </t>
  </si>
  <si>
    <t>Leonardi-Bee J 2011</t>
  </si>
  <si>
    <t>10/4/6</t>
  </si>
  <si>
    <t>1.72(1.58-1.88)</t>
  </si>
  <si>
    <t>7.89e-10</t>
  </si>
  <si>
    <t>&gt;2000/39386</t>
  </si>
  <si>
    <t>1.72 (1.59–1.86)</t>
  </si>
  <si>
    <t>D49</t>
  </si>
  <si>
    <t>Habitual Snoring*</t>
  </si>
  <si>
    <t>Sun K 2018</t>
  </si>
  <si>
    <t>17/1/16</t>
  </si>
  <si>
    <t>1.47(1.28-1.68)</t>
  </si>
  <si>
    <t>2.58e-05</t>
  </si>
  <si>
    <t>7117/71212</t>
  </si>
  <si>
    <t>1.47 (1.29–1.67)</t>
  </si>
  <si>
    <t>N128</t>
  </si>
  <si>
    <t>All-cause Mortality</t>
  </si>
  <si>
    <t>1.19(1.07-1.32)</t>
  </si>
  <si>
    <t>&gt;4838</t>
  </si>
  <si>
    <t>&gt;4838/911272</t>
  </si>
  <si>
    <t>1.19 (1.09–1.30)</t>
  </si>
  <si>
    <t>N129</t>
  </si>
  <si>
    <t>Offspring intelligence quotient</t>
  </si>
  <si>
    <t>Corrêa ML 2021</t>
  </si>
  <si>
    <t>8/8/0</t>
  </si>
  <si>
    <t>-0.45[(-0.72-(-0.17)]</t>
  </si>
  <si>
    <t>-0.45[-0.70-(-0.19)]</t>
  </si>
  <si>
    <t>N130</t>
  </si>
  <si>
    <t>Short Sleep Duration</t>
  </si>
  <si>
    <t>Safa 2020</t>
  </si>
  <si>
    <t>1.21(1.05-1.39)</t>
  </si>
  <si>
    <t>&gt;2000/692690</t>
  </si>
  <si>
    <t>1.21 (1.08–1.36)</t>
  </si>
  <si>
    <t>N131</t>
  </si>
  <si>
    <t>Puberty timing</t>
  </si>
  <si>
    <t>Chen Y 2018</t>
  </si>
  <si>
    <t>1.00(0.79-1.27)</t>
  </si>
  <si>
    <t>5819/87309</t>
  </si>
  <si>
    <t>1.00 (0.83–1.21)</t>
  </si>
  <si>
    <t>T</t>
  </si>
  <si>
    <t>C</t>
  </si>
  <si>
    <t>P</t>
  </si>
  <si>
    <t>Risk of bias</t>
  </si>
  <si>
    <t>5k+10</t>
  </si>
  <si>
    <t>FSN-(5K+10)</t>
  </si>
  <si>
    <t>Publication bias</t>
  </si>
  <si>
    <t>Inconsistency</t>
  </si>
  <si>
    <t>Indirectness</t>
  </si>
  <si>
    <t>Imprecision</t>
  </si>
  <si>
    <t>Plausible confounding</t>
  </si>
  <si>
    <t>Magnitude of effect</t>
  </si>
  <si>
    <t>Dose-dependent relationship</t>
  </si>
  <si>
    <t>Adverse pregnancy outcomes</t>
  </si>
  <si>
    <t>Preterm birth</t>
  </si>
  <si>
    <t>Serious risk (IPD, not applicable)</t>
  </si>
  <si>
    <t>No serious risk</t>
  </si>
  <si>
    <t>Serious risk（没有具体的NOS数据）</t>
  </si>
  <si>
    <t>Detected in the number of cigarettes smoked per day</t>
  </si>
  <si>
    <t>Serious risk</t>
  </si>
  <si>
    <t>Perinatal death</t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</si>
  <si>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（没质量评价）</t>
    </r>
  </si>
  <si>
    <t>Low-birth-weight</t>
  </si>
  <si>
    <t>Small-for-Gestational-Age</t>
  </si>
  <si>
    <t>Leonardi-Bee J 2008</t>
  </si>
  <si>
    <t>0.65 (0.29–1.01)</t>
  </si>
  <si>
    <t>Overall Congenital Malformations</t>
  </si>
  <si>
    <r>
      <rPr>
        <sz val="10"/>
        <color theme="1"/>
        <rFont val="Arial"/>
        <charset val="134"/>
      </rPr>
      <t>No serious risk(</t>
    </r>
    <r>
      <rPr>
        <sz val="10"/>
        <color theme="1"/>
        <rFont val="宋体"/>
        <charset val="134"/>
      </rPr>
      <t>未有具体的</t>
    </r>
    <r>
      <rPr>
        <sz val="10"/>
        <color theme="1"/>
        <rFont val="Arial"/>
        <charset val="134"/>
      </rPr>
      <t xml:space="preserve">NOS </t>
    </r>
    <r>
      <rPr>
        <sz val="10"/>
        <color theme="1"/>
        <rFont val="宋体"/>
        <charset val="134"/>
      </rPr>
      <t>按照总体的）</t>
    </r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</si>
  <si>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（评分是</t>
    </r>
    <r>
      <rPr>
        <sz val="10"/>
        <color theme="1"/>
        <rFont val="Arial"/>
        <charset val="134"/>
      </rPr>
      <t>Fair</t>
    </r>
    <r>
      <rPr>
        <sz val="10"/>
        <color theme="1"/>
        <rFont val="宋体"/>
        <charset val="134"/>
      </rPr>
      <t>，没有低质量的）</t>
    </r>
  </si>
  <si>
    <t>Neural tube defects</t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</si>
  <si>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（未进行质量评价，只进行了混杂因素调整）</t>
    </r>
  </si>
  <si>
    <r>
      <rPr>
        <sz val="10"/>
        <color theme="1"/>
        <rFont val="Arial"/>
        <charset val="134"/>
      </rPr>
      <t xml:space="preserve">Congenital Digital Anomalies1 </t>
    </r>
    <r>
      <rPr>
        <vertAlign val="superscript"/>
        <sz val="10"/>
        <color theme="1"/>
        <rFont val="Arial"/>
        <charset val="134"/>
      </rPr>
      <t>(Polydactyly/syndactyly/adactyly)</t>
    </r>
  </si>
  <si>
    <t>Serious risk（未进行质量评价，只进行了混杂因素调整）</t>
  </si>
  <si>
    <t>Digestive Defects</t>
  </si>
  <si>
    <t>1.27 (1.18–1.36)</t>
  </si>
  <si>
    <r>
      <rPr>
        <sz val="10"/>
        <color theme="1"/>
        <rFont val="Arial"/>
        <charset val="134"/>
      </rPr>
      <t xml:space="preserve">Bronchopulmonary dysplasia  36 </t>
    </r>
    <r>
      <rPr>
        <vertAlign val="superscript"/>
        <sz val="10"/>
        <color theme="1"/>
        <rFont val="Arial"/>
        <charset val="134"/>
      </rPr>
      <t>2 (Oxygen requirement at the postmenstrual age of 36 weeks)</t>
    </r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</si>
  <si>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（每个研究都NOS&gt;6）</t>
    </r>
  </si>
  <si>
    <r>
      <rPr>
        <sz val="10"/>
        <color theme="1"/>
        <rFont val="Arial"/>
        <charset val="134"/>
      </rPr>
      <t>Hernias</t>
    </r>
    <r>
      <rPr>
        <vertAlign val="superscript"/>
        <sz val="10"/>
        <color theme="1"/>
        <rFont val="Arial"/>
        <charset val="134"/>
      </rPr>
      <t>3 (umbilical/ventral/inguinal)</t>
    </r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</si>
  <si>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 xml:space="preserve">NOS&lt;7 </t>
    </r>
    <r>
      <rPr>
        <sz val="10"/>
        <color theme="1"/>
        <rFont val="宋体"/>
        <charset val="134"/>
      </rPr>
      <t>为</t>
    </r>
    <r>
      <rPr>
        <sz val="10"/>
        <color theme="1"/>
        <rFont val="Arial"/>
        <charset val="134"/>
      </rPr>
      <t>52%)</t>
    </r>
  </si>
  <si>
    <t>Circulatory System Diseases</t>
  </si>
  <si>
    <t>CVD</t>
  </si>
  <si>
    <t>Detected in the number of cigarettes smoked per day, exposure hours, exposure years, and pack-years</t>
  </si>
  <si>
    <t>Detected in per 1 ng/ml increment of cotinine concentration</t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</si>
  <si>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（总统计图）</t>
    </r>
  </si>
  <si>
    <t>No serious risk（总统计图）</t>
  </si>
  <si>
    <t>Respiratory System Diseases</t>
  </si>
  <si>
    <t>Asthma-like Syndrome</t>
  </si>
  <si>
    <t>Serious risk(IPD, not applicable)</t>
  </si>
  <si>
    <t>Chronic Cough</t>
  </si>
  <si>
    <t>Obstructive sleep apnea</t>
  </si>
  <si>
    <t>Serious risk（没质量评价）</t>
  </si>
  <si>
    <t>Lung Cancer</t>
  </si>
  <si>
    <t>Detected in the number of cigarettes smoked per day, exposure years, and pack-years</t>
  </si>
  <si>
    <t>Breast Cancer</t>
  </si>
  <si>
    <t>Cervical Cancer</t>
  </si>
  <si>
    <t>Detected in the number of cigarettes smoked per day, hours smoked  per day, and pack-years</t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</si>
  <si>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（没有具体的</t>
    </r>
    <r>
      <rPr>
        <sz val="10"/>
        <color theme="1"/>
        <rFont val="Arial"/>
        <charset val="134"/>
      </rPr>
      <t>NOS</t>
    </r>
    <r>
      <rPr>
        <sz val="10"/>
        <color theme="1"/>
        <rFont val="宋体"/>
        <charset val="134"/>
      </rPr>
      <t>数据）</t>
    </r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</si>
  <si>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（总统计图）</t>
    </r>
  </si>
  <si>
    <t>no serious risk</t>
  </si>
  <si>
    <t>Germ Cell Tumor</t>
  </si>
  <si>
    <t>Head and Neck Cancer</t>
  </si>
  <si>
    <t>Soft tissue Sarcoma</t>
  </si>
  <si>
    <t>Bone Tumor</t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</si>
  <si>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NOS&lt;6</t>
    </r>
    <r>
      <rPr>
        <sz val="10"/>
        <color theme="1"/>
        <rFont val="宋体"/>
        <charset val="134"/>
      </rPr>
      <t>为</t>
    </r>
    <r>
      <rPr>
        <sz val="10"/>
        <color theme="1"/>
        <rFont val="Arial"/>
        <charset val="134"/>
      </rPr>
      <t>29%</t>
    </r>
    <r>
      <rPr>
        <sz val="10"/>
        <color theme="1"/>
        <rFont val="宋体"/>
        <charset val="134"/>
      </rPr>
      <t>）</t>
    </r>
  </si>
  <si>
    <t>Depressive Symptoms</t>
  </si>
  <si>
    <t>Han C 2019</t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</si>
  <si>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（NOS&lt;7 为</t>
    </r>
    <r>
      <rPr>
        <sz val="10"/>
        <color theme="1"/>
        <rFont val="Arial"/>
        <charset val="134"/>
      </rPr>
      <t>33.3%)</t>
    </r>
  </si>
  <si>
    <t>Detected in the hours smoked per day, and days smoked per week</t>
  </si>
  <si>
    <t>Autism Spectrum Disorder</t>
  </si>
  <si>
    <t>Tourette syndrome</t>
  </si>
  <si>
    <t>Ayubi E 2021</t>
  </si>
  <si>
    <t>Parkinson disease</t>
  </si>
  <si>
    <t>Psychological distress</t>
  </si>
  <si>
    <t>Ketata I 2024</t>
  </si>
  <si>
    <r>
      <rPr>
        <sz val="10"/>
        <color theme="1"/>
        <rFont val="Arial"/>
        <charset val="134"/>
      </rPr>
      <t>Serious risk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NOS 4,6,7</t>
    </r>
    <r>
      <rPr>
        <sz val="10"/>
        <color theme="1"/>
        <rFont val="宋体"/>
        <charset val="134"/>
      </rPr>
      <t>）</t>
    </r>
  </si>
  <si>
    <t>Diabetes</t>
  </si>
  <si>
    <t>1.22 (1.07–1.39)</t>
  </si>
  <si>
    <t>Detected in the hours smoked per day</t>
  </si>
  <si>
    <t>Type I diabetes</t>
  </si>
  <si>
    <t>Type II diabetes</t>
  </si>
  <si>
    <t>no serious risk(Only &gt;5)</t>
  </si>
  <si>
    <t>1.01 (0.76–1.34)</t>
  </si>
  <si>
    <t>Chronic Suppurative Otitis Media</t>
  </si>
  <si>
    <t>Atopic dermatitis</t>
  </si>
  <si>
    <t>Tuberculosis</t>
  </si>
  <si>
    <r>
      <rPr>
        <sz val="10"/>
        <color theme="1"/>
        <rFont val="Arial"/>
        <charset val="134"/>
      </rPr>
      <t>no serious risk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NOS&gt;6</t>
    </r>
    <r>
      <rPr>
        <sz val="10"/>
        <color theme="1"/>
        <rFont val="宋体"/>
        <charset val="134"/>
      </rPr>
      <t>）</t>
    </r>
  </si>
  <si>
    <t>Offspring visual problems</t>
  </si>
  <si>
    <t>Offspring Conduct problems</t>
  </si>
  <si>
    <t>Offspring tobacco smoking dependence</t>
  </si>
  <si>
    <t>Habitual snoring</t>
  </si>
  <si>
    <t>All-cause mortality</t>
  </si>
  <si>
    <t>Study</t>
  </si>
  <si>
    <t>1*</t>
  </si>
  <si>
    <t>2*</t>
  </si>
  <si>
    <t>3*</t>
  </si>
  <si>
    <t>4*</t>
  </si>
  <si>
    <t>5*</t>
  </si>
  <si>
    <t>6*</t>
  </si>
  <si>
    <t>7*</t>
  </si>
  <si>
    <t>8*</t>
  </si>
  <si>
    <t>9*</t>
  </si>
  <si>
    <t>10*</t>
  </si>
  <si>
    <t>11*</t>
  </si>
  <si>
    <t>12*</t>
  </si>
  <si>
    <t>13*</t>
  </si>
  <si>
    <t>14*</t>
  </si>
  <si>
    <t>15*</t>
  </si>
  <si>
    <t>16*</t>
  </si>
  <si>
    <t>Low-Birth-Weight, birthweight, and gestational age</t>
  </si>
  <si>
    <t>Small-for-Gestational-Age, Length at birth, and Head circumference at birth</t>
  </si>
  <si>
    <t>Musculoskeletal defects, Clubfoot, Digestive defects, Facial defects, Eye defects, Skin defects, Craniosynostosis, Hernias, Anal atresia, and Congenital urogenital malformations</t>
  </si>
  <si>
    <t>Overall congenital malformation, Musculoskeletal Defects, and Digestive Defects</t>
  </si>
  <si>
    <t>Congenital limb reduction defects, Congenital Digital Anomalies</t>
  </si>
  <si>
    <t>Bronchopulmonary dysplasia</t>
  </si>
  <si>
    <t>Gastric, Liver, Kidney, Endometrium, and Ovary Cancer</t>
  </si>
  <si>
    <t>Cardiovascular disease, coronary heart disease</t>
  </si>
  <si>
    <t>Stroke, all-cause mortality</t>
  </si>
  <si>
    <t>Systolic blood pressure, diastolic blood pressure</t>
  </si>
  <si>
    <t>Systolic blood pressure, diastolic blood pressure, and hypertension</t>
  </si>
  <si>
    <t>Acute lymphoblastic leukemia</t>
  </si>
  <si>
    <t>Acute lymphoblastic leukemia, Acute myeloid leukemia</t>
  </si>
  <si>
    <t>Hodgkin Lymphoma, Non-Hodgkin Lymphoma</t>
  </si>
  <si>
    <t>Kindey, germ cell, soft tissue, and bone tumor</t>
  </si>
  <si>
    <t>Asthma, Wheeze incidence</t>
  </si>
  <si>
    <t>Latent tuberculosis infection, active tuberculosis disease</t>
  </si>
  <si>
    <t>Allergic rhinitis, Atopic dermatitis/eczema, and food allergy</t>
  </si>
  <si>
    <t>IBD/Crohn Disease</t>
  </si>
  <si>
    <t>Neurodevelopmental disorders, ADHD, and autism spectrum disorder</t>
  </si>
  <si>
    <t>Head and neck cancer(including oropharyngeal, laryngeal, hypopharyngeal, and nasopharyngeal cancer)</t>
  </si>
  <si>
    <t>Atopic dermatitis/eczema, food allergy</t>
  </si>
  <si>
    <t>Invasive meningococcal disease, pneumococcal disease, and Hib disease</t>
  </si>
  <si>
    <t>Overweight/obesity, BMI Scores</t>
  </si>
  <si>
    <t>Outcomes</t>
  </si>
  <si>
    <t>Author year</t>
  </si>
  <si>
    <t>Publication Year</t>
  </si>
  <si>
    <t>Title</t>
  </si>
  <si>
    <t>MA</t>
  </si>
  <si>
    <t>Excluded resaons</t>
  </si>
  <si>
    <t>Qualified MA</t>
  </si>
  <si>
    <t>暴露1/所对应的原始研究数量</t>
  </si>
  <si>
    <t>暴露2/所对应的原始研究数量</t>
  </si>
  <si>
    <t>暴露3/所对应的原始研究数量</t>
  </si>
  <si>
    <t>暴露4/所对应的原始研究数量</t>
  </si>
  <si>
    <t>暴露5/所对应的原始研究数量</t>
  </si>
  <si>
    <t>Associations between Passive Maternal Smoking during Pregnancy and Preterm Birth: Evidence from a Meta-Analysis of Observational Studies</t>
  </si>
  <si>
    <t>MA1</t>
  </si>
  <si>
    <t>Maternal passive smoking/23</t>
  </si>
  <si>
    <t>Environmental tobacco smoke exposure and perinatal outcomes: a systematic review and meta-analyses</t>
  </si>
  <si>
    <t>MA2</t>
  </si>
  <si>
    <t>Maternal passive smoking/17</t>
  </si>
  <si>
    <t>Environmental exposures and adverse pregnancy outcomes in Ethiopia: A systematic review and meta-analysis</t>
  </si>
  <si>
    <t>Maternal active smoking/3</t>
  </si>
  <si>
    <t>The effect of paternal factors on perinatal and paediatric outcomes: a systematic review and meta-analysis</t>
  </si>
  <si>
    <t>MA3</t>
  </si>
  <si>
    <t>Maternal passive smoking/3</t>
  </si>
  <si>
    <t>Philips EM 2020</t>
  </si>
  <si>
    <t>Changes in parental smoking during pregnancy and risks of adverse birth outcomes and childhood overweight in Europe and North America: An individual participant data meta-analysis of 229,000 singleton births</t>
  </si>
  <si>
    <t>Maternal passive smoking/16(IPD)</t>
  </si>
  <si>
    <t>Maternal active smoking/27(IPD)</t>
  </si>
  <si>
    <t>Preterm birth(update research)</t>
  </si>
  <si>
    <t>Association between prenatal environmental tobacco smoke exposure and preterm birth: A systematic review and meta-analysis</t>
  </si>
  <si>
    <t>MA4</t>
  </si>
  <si>
    <t>Maternal passive smoking/18</t>
  </si>
  <si>
    <t>Systematic review and meta-analysis of miscarriage and maternal exposure to tobacco smoke during pregnancy</t>
  </si>
  <si>
    <t>Maternal passive smoking/16</t>
  </si>
  <si>
    <t>Maternal active smoking/50</t>
  </si>
  <si>
    <t>Paternal smoking in the preconception period is associated with an increased risk of spontaneous miscarriage in a dose-dependent manner: a systematic review and meta-analysis</t>
  </si>
  <si>
    <t>Paternal smoking is associated with an increased risk of pregnancy loss in a dose-dependent manner: a systematic review and meta-analysis</t>
  </si>
  <si>
    <t>Maternal passive smoking/10</t>
  </si>
  <si>
    <t>Secondhand smoke and adverse fetal outcomes in nonsmoking pregnant women: a meta-analysis</t>
  </si>
  <si>
    <t>Maternal passive smoking/5</t>
  </si>
  <si>
    <t>Miscarriage(update research)</t>
  </si>
  <si>
    <t>Tobacco exposure and risk of spontaneous abortion, a dose-dependent association: A systematic review and meta-analysis</t>
  </si>
  <si>
    <t>Maternal passive smoking/9</t>
  </si>
  <si>
    <t>Maternal active smoking/11</t>
  </si>
  <si>
    <t>Systematic review and meta-analysis of female lifestyle factors and risk of recurrent pregnancy loss</t>
  </si>
  <si>
    <t>Major risk factors for stillbirth in high-income countries: a systematic review and meta-analysis</t>
  </si>
  <si>
    <t>Maternal active smoking/4</t>
  </si>
  <si>
    <t>Maternal smoking and the risk of still birth: systematic review and meta-analysis</t>
  </si>
  <si>
    <t>Maternal active smoking/24</t>
  </si>
  <si>
    <t>Systematic Review and Meta-Analyses of Perinatal Death and Maternal Exposure to Tobacco Smoke During Pregnancy</t>
  </si>
  <si>
    <t>Maternal active smoking/59</t>
  </si>
  <si>
    <t>Smoking and the sudden infant death syndrome</t>
  </si>
  <si>
    <t>Maternal smoking and increased risk of sudden infant death syndrome: a meta-analysis</t>
  </si>
  <si>
    <t>Maternal active smoking/23</t>
  </si>
  <si>
    <t>Predictors of Poor Neonatal Outcomes among Pregnant Women in Indonesia: A Systematic Review and Meta-Analysis</t>
  </si>
  <si>
    <t>Maternal active smoking/46</t>
  </si>
  <si>
    <t>Maternal passive smoking/4</t>
  </si>
  <si>
    <t>Maternal Active Smoking During Pregnancy and Low Birth Weight in the Americas: A Systematic Review and Meta-analysis</t>
  </si>
  <si>
    <t>Maternal active smoking/29</t>
  </si>
  <si>
    <t>Maternal smoking status during pregnancy and low birth weight in offspring: systematic review and meta-analysis of 55 cohort studies published from 1986 to 2020</t>
  </si>
  <si>
    <t>Maternal active smoking/53</t>
  </si>
  <si>
    <t>[Meta analysis of effects on maternal passive smoking during pregnancy on fetal low birth weight]</t>
  </si>
  <si>
    <t>Maternal passive smoking/27（Raw data not applicable）</t>
  </si>
  <si>
    <t>[Meta-analysis on partial risk factors of full-term infants with low birth weight]</t>
  </si>
  <si>
    <t>Maternal passive smoking/7</t>
  </si>
  <si>
    <t>MA5</t>
  </si>
  <si>
    <t>Environmental tobacco smoke and fetal health: systematic review and meta-analysis</t>
  </si>
  <si>
    <t>MA6</t>
  </si>
  <si>
    <t>Maternal passive smoking/6</t>
  </si>
  <si>
    <t>MA7</t>
  </si>
  <si>
    <t>Maternal passive smoking/19</t>
  </si>
  <si>
    <t>The effect of substance use during pregnancy on neonatal outcomes in Ethiopia: A systematic review and meta-analysis</t>
  </si>
  <si>
    <t>Maternal active smoking/2</t>
  </si>
  <si>
    <t xml:space="preserve">                  </t>
  </si>
  <si>
    <t>Birthweight【新加结局】</t>
  </si>
  <si>
    <t>Maternal passive smoking/45</t>
  </si>
  <si>
    <t>Maternal passive smoking/27</t>
  </si>
  <si>
    <t>Maternal passive smoking/2</t>
  </si>
  <si>
    <t>A meta-analysis on the association between maternal passive smoking during pregnancy and small-for-gestational-age infants</t>
  </si>
  <si>
    <t>Maternal passive smoking/8</t>
  </si>
  <si>
    <t>Small-for-Gestational-Age【新加结局】</t>
  </si>
  <si>
    <t>The association between active tobacco use during pregnancy and growth outcomes of children under five years of age: a systematic review and meta-analysis</t>
  </si>
  <si>
    <t>Maternal active smoking/22</t>
  </si>
  <si>
    <t>Maternal active smoking/23(IPD)</t>
  </si>
  <si>
    <t>Small-for-Gestational-Age(update research)</t>
  </si>
  <si>
    <t>Maternal Factors for Intrauterine Growth Retardation: Systematic Review and Meta-Analysis of Observational Studies</t>
  </si>
  <si>
    <t>Maternal active smoking/4 (Outcome not compatible)</t>
  </si>
  <si>
    <t>Gestational age【新加结局】</t>
  </si>
  <si>
    <t>Maternal passive smoking/(Data not applicable)</t>
  </si>
  <si>
    <t>Maternal active smoking/39</t>
  </si>
  <si>
    <t>Length at birth(femur length)</t>
  </si>
  <si>
    <t>A systematic review of maternal smoking during pregnancy and fetal measurements with meta-analysis</t>
  </si>
  <si>
    <t>Maternal active smoking/37</t>
  </si>
  <si>
    <t>Maternal active smoking/8(During pregnancy, not for postnatal)</t>
  </si>
  <si>
    <t>Overall congenital malformations</t>
  </si>
  <si>
    <t>Maternal Passive smoking/7</t>
  </si>
  <si>
    <t>Congenital malformations are associated with secondhand smoke among nonsmoking women: A meta-analysis</t>
  </si>
  <si>
    <t>Maternal Passive smoking/33</t>
  </si>
  <si>
    <t>Maternal smoking in pregnancy and birth defects: a systematic review based on 173 687 malformed cases and 11.7 million controls</t>
  </si>
  <si>
    <t>Maternal smoking during pregnancy and birth defects in children: a systematic review with meta-analysis</t>
  </si>
  <si>
    <t>Congenital Heart Defects</t>
  </si>
  <si>
    <t>Maternal Passive(Prenatal)/5</t>
  </si>
  <si>
    <t>Preconception care: caffeine, smoking, alcohol, drugs and other environmental chemical/radiation exposure</t>
  </si>
  <si>
    <t>Maternal Active(Prenatal)/1</t>
  </si>
  <si>
    <t>Maternal smoking during pregnancy and the risk of congenital heart defects in offspring: a systematic review and metaanalysis</t>
  </si>
  <si>
    <t>Maternal Active(Prenatal)/19</t>
  </si>
  <si>
    <t>Risk factors for congenital heart disease in Chinese neonates: a Meta analysis</t>
  </si>
  <si>
    <t>Effect of Maternal Prepregnancy/Early-Pregnancy Body Mass Index and Pregnancy Smoking and Alcohol on Congenital Heart Diseases: A Parental Negative Control Study</t>
  </si>
  <si>
    <t>Is maternal smoking during pregnancy associated with an increased risk of congenital heart defects among offspring? A systematic review and meta-analysis of observational studies</t>
  </si>
  <si>
    <t>Maternal Active(Prenatal)/29</t>
  </si>
  <si>
    <t>Parental smoking and the risk of congenital heart defects in offspring: An updated meta-analysis of observational studies</t>
  </si>
  <si>
    <t>Maternal Passive(Prenatal)/36</t>
  </si>
  <si>
    <t>Maternal Active(Prenatal)/25</t>
  </si>
  <si>
    <t>Systematic Review and Meta-analysis of Prenatal Risk Factors for Congenital Heart Disease: Part 1, Maternal Chronic Diseases and Parental Exposures</t>
  </si>
  <si>
    <t>Maternal Active(Prenatal)/42</t>
  </si>
  <si>
    <t>Orofacial Cleft（新加结局）</t>
  </si>
  <si>
    <t>Maternal Cigarette Smoking and Cleft Lip and Palate: A Systematic Review and Meta-Analysis</t>
  </si>
  <si>
    <t>Maternal Active/36</t>
  </si>
  <si>
    <t>Orofacial Cleft</t>
  </si>
  <si>
    <t>Ács M 2024</t>
  </si>
  <si>
    <t>Maternal factors increase risk of orofacial cleft: a meta-analysis</t>
  </si>
  <si>
    <t>Maternal Passive/7</t>
  </si>
  <si>
    <t>Maternal Active/28</t>
  </si>
  <si>
    <t>Environmental tobacco smoke exposure and non-syndromic orofacial cleft: Systematic review and meta-analysis</t>
  </si>
  <si>
    <t>Maternal Passive/20</t>
  </si>
  <si>
    <t>Sabbagh HJ 2015</t>
  </si>
  <si>
    <t>Passive Smoking in the Etiology of Non-Syndromic Orofacial Clefts: A Systematic Review and Meta-Analysis</t>
  </si>
  <si>
    <t>Maternal Passive/10</t>
  </si>
  <si>
    <t>Vathulya M 2024</t>
  </si>
  <si>
    <t>An intercontinental comparison of the influence of smoking on the occurrence of nonsyndromic cleft lip and palate: a meta-analysis and systematic review</t>
  </si>
  <si>
    <t>Maternal Active/48</t>
  </si>
  <si>
    <t>Xuan Z 2016</t>
  </si>
  <si>
    <t>Maternal active smoking and risk of oral clefts: a meta-analysis</t>
  </si>
  <si>
    <t>Maternal Active/29</t>
  </si>
  <si>
    <t>Maternal Passive/2</t>
  </si>
  <si>
    <t>Maternal Passive/19</t>
  </si>
  <si>
    <t>Orofacial Cleft(update research)</t>
  </si>
  <si>
    <t>Maternal cigarette smoking and oral clefts: A meta-analysis</t>
  </si>
  <si>
    <t>Maternal Active/11（Data not applicable)</t>
  </si>
  <si>
    <t>Neural Tube Defects</t>
  </si>
  <si>
    <t>Association of paternal smoking with the risk of neural tube defects in offspring: A systematic review and meta-analysis of observational studies</t>
  </si>
  <si>
    <t>Meta-analysis of the association of maternal smoking and passive smoking during pregnancy with neural tube defects</t>
  </si>
  <si>
    <t>Maternal Passive/11</t>
  </si>
  <si>
    <t>Maternal Active(Prenatal)/16</t>
  </si>
  <si>
    <t>Maternal smoking during pregnancy and neural tube defects in offspring: a meta-analysis</t>
  </si>
  <si>
    <t>Maternal Active(Prenatal)/13</t>
  </si>
  <si>
    <t>Maternal passive smoking during pregnancy and neural tube defects in offspring: a meta-analysis</t>
  </si>
  <si>
    <t>Maternal Passive/6</t>
  </si>
  <si>
    <t>非MA</t>
  </si>
  <si>
    <t>Neural Tube Defects(update research)</t>
  </si>
  <si>
    <t>Influencing factors of neural tube malformation: a systematic review and meta-analysis</t>
  </si>
  <si>
    <t>Maternal Active/24</t>
  </si>
  <si>
    <t>Maternal Active(Data not applicable)</t>
  </si>
  <si>
    <t>Maternal Passive/3</t>
  </si>
  <si>
    <t>Congenital Digital Anomalies</t>
  </si>
  <si>
    <t>Maternal Cigarette Smoking and Congenital Upper and Lower Limb Differences: A Systematic Review and Meta-Analysis</t>
  </si>
  <si>
    <t>Maternal Active/8</t>
  </si>
  <si>
    <t>Maternal Active/6</t>
  </si>
  <si>
    <t>Congenital Limb Reduction Defects</t>
  </si>
  <si>
    <t>Maternal Active/13</t>
  </si>
  <si>
    <t>Maternal Active/11</t>
  </si>
  <si>
    <t>Clubfoot Etiology: A Meta-Analysis and Systematic Review of Observational and Randomized Trials</t>
  </si>
  <si>
    <t>Maternal Active/17(Data not applicable)</t>
  </si>
  <si>
    <t>Maternal Active/NA(Data not applicable)</t>
  </si>
  <si>
    <t>Parental risk factors and anorectal malformations: systematic review and meta-analysis</t>
  </si>
  <si>
    <t>Maternal Active/35</t>
  </si>
  <si>
    <t>Esophageal atresia(update research)</t>
  </si>
  <si>
    <t>The association of environmental exposure in the etiology of esophageal atresia in children: A systematic review and meta-analysis</t>
  </si>
  <si>
    <t>Perinatal risk factors for infantile hypertrophic pyloric stenosis: A systematic review and meta-analysis</t>
  </si>
  <si>
    <t>Bronchopulmonary Dysplasia</t>
  </si>
  <si>
    <t>Tobacco Smoking During Pregnancy Is Associated With Increased Risk of Moderate/Severe Bronchopulmonary Dysplasia: A Systematic Review and Meta-Analysis</t>
  </si>
  <si>
    <t>Maternal Active/5</t>
  </si>
  <si>
    <t>Perinatal Risk Factors in Single-suture Craniosynostosis: A Systematic Review and Meta-analysis</t>
  </si>
  <si>
    <t>Maternal Active/4</t>
  </si>
  <si>
    <t>Lifestyle and sociodemographic risk factors for gastroschisis: a systematic review and meta-analysis</t>
  </si>
  <si>
    <t>Maternal Active/21</t>
  </si>
  <si>
    <t>A Meta-analysis on the Association between Materal Smoking during Pregnancy and Fetal Gastrochisis</t>
  </si>
  <si>
    <t>Maternal Active/12</t>
  </si>
  <si>
    <t>Hernias (umbilical/ventral/inguinal)</t>
  </si>
  <si>
    <t>Maternal gestational smoking, diabetes, alcohol drinking, pre-pregnancy obesity and the risk of cryptorchidism: a systematic review and meta-analysis of observational studies</t>
  </si>
  <si>
    <t>Maternal Active/25</t>
  </si>
  <si>
    <t>Maternal Active/18</t>
  </si>
  <si>
    <t>Maternal smoking during pregnancy and the risk of congenital urogenital malformations: A systematic review and meta-analysis</t>
  </si>
  <si>
    <t>Maternal smoking during pregnancy and risk of cryptorchidism: a systematic review and meta-analysis</t>
  </si>
  <si>
    <t>Maternal Active/20</t>
  </si>
  <si>
    <t>Parental smoking and risk of hypospadias: An updated meta-analysis of observational studies</t>
  </si>
  <si>
    <t>Maternal Active/42</t>
  </si>
  <si>
    <t>Maternal passive/12</t>
  </si>
  <si>
    <t>Maternal Active/15</t>
  </si>
  <si>
    <t>Maternal Active/19</t>
  </si>
  <si>
    <t>Maternal passive/13</t>
  </si>
  <si>
    <t>Maternal Active/40</t>
  </si>
  <si>
    <t>Maternal passive/4</t>
  </si>
  <si>
    <t>Circulatory</t>
  </si>
  <si>
    <t>Meta-analysis of the association between second-hand smoke exposure and ischaemic heart diseases, COPD and stroke</t>
  </si>
  <si>
    <t>Home, work, or combined exposure/15</t>
  </si>
  <si>
    <t>Association between passive smoking and cardiovascular disease: A systematic review and meta-analysis</t>
  </si>
  <si>
    <t>Home, work, or combined exposure/17</t>
  </si>
  <si>
    <t>Risk of all-cause mortality and cardiovascular disease associated with secondhand smoke exposure: a systematic review and meta-analysis</t>
  </si>
  <si>
    <t>Home, work, or combined exposure/38</t>
  </si>
  <si>
    <t>Dose-related effect of secondhand smoke on cardiovascular disease in nonsmokers: Systematic review and meta-analysis</t>
  </si>
  <si>
    <t>Home, work, or combined exposure/51</t>
  </si>
  <si>
    <t>The Association between Exposure to Second-Hand Smoke and Disease in the Chinese Population: A Systematic Review and Meta-Analysis</t>
  </si>
  <si>
    <t>Home, work, or combined exposure/3</t>
  </si>
  <si>
    <t>Coronary Heart Disease (CHD)</t>
  </si>
  <si>
    <t>Home, work, or combined exposure/16</t>
  </si>
  <si>
    <t>Home, work, or combined exposure/29</t>
  </si>
  <si>
    <t>Home, work, or combined exposure/7</t>
  </si>
  <si>
    <t>Environmental Tobacco Smoke Exposure and Risk of Stroke in Never Smokers: An Updated Review with Meta-Analysis</t>
  </si>
  <si>
    <t>Home, work, or combined exposure/27</t>
  </si>
  <si>
    <t>Meta-analysis of the association between secondhand smoke exposure and stroke</t>
  </si>
  <si>
    <t>Home, work, or combined exposure/21</t>
  </si>
  <si>
    <t>Secondhand smoking and neurological disease: a meta-analysis of cohort studies</t>
  </si>
  <si>
    <t>Home, work, or combined exposure/9</t>
  </si>
  <si>
    <t>Home, work, or combined exposure/23</t>
  </si>
  <si>
    <t>Quantitative assessment of risks on cerebral vascular diseases in urban residents in Sichuan</t>
  </si>
  <si>
    <t>Data not applicable</t>
  </si>
  <si>
    <t>Environmental tobacco smoke exposure and risk of stroke in nonsmokers: a review with meta-analysis</t>
  </si>
  <si>
    <t>MA8</t>
  </si>
  <si>
    <t>Peripheral arterial disease</t>
  </si>
  <si>
    <t>Association between secondhand smoke and peripheral arterial disease: a meta-analysis of cross-sectional studies</t>
  </si>
  <si>
    <t>Association between active smoking, secondhand smoke and peripheral arterial disease</t>
  </si>
  <si>
    <t>Effect of passive exposure to cigarette smoke on blood pressure in children and adolescents: a meta-analysis of epidemiologic studies</t>
  </si>
  <si>
    <t>Maternal Active(Prenatal)/Home(Postnatal)/13</t>
  </si>
  <si>
    <t>Prenatal smoking exposure and cardio-metabolic risk factors in adulthood: a general population study and a meta-analysis</t>
  </si>
  <si>
    <t>Maternal Active(Prenatal)/6（Data not applicable)</t>
  </si>
  <si>
    <t>Maternal smoking in pregnancy and blood pressure during childhood and adolescence: a meta-analysis</t>
  </si>
  <si>
    <t>Maternal Active(Prenatal)/15</t>
  </si>
  <si>
    <t>Maternal Active(Prenatal)/Home(Postnatal)/6</t>
  </si>
  <si>
    <t>Maternal Active(Prenatal)/6</t>
  </si>
  <si>
    <t>Home, work, or combined exposure/12（Data not applicable)</t>
  </si>
  <si>
    <t>Respiratory Diseases</t>
  </si>
  <si>
    <t>Asthma Incidence</t>
  </si>
  <si>
    <t>Prenatal and passive smoke exposure and incidence of asthma and wheeze: systematic review and meta-analysis</t>
  </si>
  <si>
    <t>Home exposure[Postnatal maternal smoking]/5</t>
  </si>
  <si>
    <t>The association between secondhand smoke and childhood asthma: A systematic review and meta-analysis</t>
  </si>
  <si>
    <t>Maternal Active (Prenatal)/27</t>
  </si>
  <si>
    <t>Maternal Passive(Prenatal)/12</t>
  </si>
  <si>
    <t>Home or other places/52</t>
  </si>
  <si>
    <t>Home exposure[Postnatal maternal smoking]/18</t>
  </si>
  <si>
    <t>Home exposure[Postnatal paternal smoking]/15</t>
  </si>
  <si>
    <t>Smoke exposure, wheezing, and asthma development: a systematic review and meta-analysis in unselected birth cohorts</t>
  </si>
  <si>
    <t>Outcome not distinguishable</t>
  </si>
  <si>
    <t>Meta-analysis of the association between secondhand smoke exposure and physician-diagnosed childhood asthma</t>
  </si>
  <si>
    <t>Home or other places/20</t>
  </si>
  <si>
    <t>Developing asthma in childhood from exposure to secondhand tobacco smoke: insights from a meta-regression</t>
  </si>
  <si>
    <t>Home or other places/12</t>
  </si>
  <si>
    <t>Maternal Smoking during Pregnancy and Early Childhood and Development of Asthma and Rhinoconjunctivitis - a MeDALL Project</t>
  </si>
  <si>
    <t>Home or other places/5(IPD)</t>
  </si>
  <si>
    <t>SmokeHaz Systematic Reviews and Meta-analyses of the Effects of Smoking on Respiratory Health</t>
  </si>
  <si>
    <t>Home or other places/6</t>
  </si>
  <si>
    <t>Effective of Second Hand Smoke Exposure (SHS) on Asthma Morbidity and Healthcare Utilization: Systematic Review and Meta-Analysis</t>
  </si>
  <si>
    <t>Only abstratct</t>
  </si>
  <si>
    <t>Asthma Incidence(update research)</t>
  </si>
  <si>
    <t>Impact of perinatal risk factors on pediatric asthma: A systematic review and meta-analysis</t>
  </si>
  <si>
    <t>Maternal Active (Prenatal)/2</t>
  </si>
  <si>
    <t>Maternal Passive(Prenatal)/1</t>
  </si>
  <si>
    <t>Home exposure[Postnatal maternal smoking]/2</t>
  </si>
  <si>
    <t>Home exposure[Postnatal paternal smoking]/2</t>
  </si>
  <si>
    <t>Effects of secondhand smoke exposure on asthma morbidity and health care utilization in children: a systematic review and meta-analysis</t>
  </si>
  <si>
    <t>Home or other places/10</t>
  </si>
  <si>
    <t>Home or other places/3</t>
  </si>
  <si>
    <t>Association between active tobacco use during pregnancy and infant respiratory health: a systematic review and meta-analysis</t>
  </si>
  <si>
    <t>Maternal Active (Prenatal)/9</t>
  </si>
  <si>
    <t>Home or other places/5(Data not applicable)</t>
  </si>
  <si>
    <t>The independent role of prenatal and postnatal exposure to active and passive smoking on the development of early wheeze in children</t>
  </si>
  <si>
    <t>IPD（15 European Union birth cohorts)</t>
  </si>
  <si>
    <t>Maternal Active (Prenatal)/14</t>
  </si>
  <si>
    <t>Maternal Active (Prenatal)/8</t>
  </si>
  <si>
    <t>Home or other places/21</t>
  </si>
  <si>
    <t>Home exposure[Postnatal maternal smoking]/10</t>
  </si>
  <si>
    <t>Home exposure[Postnatal paternal smoking]/7</t>
  </si>
  <si>
    <t>Wheeze Incidence(update research)</t>
  </si>
  <si>
    <t>Early-life risk factors for recurrent wheezing in preschool children: A meta-analysis of 15 cohort studies</t>
  </si>
  <si>
    <t>Pneumonia(update research)</t>
  </si>
  <si>
    <t>The effect of air pollution on morbidity and mortality among children aged under five in sub-Saharan Africa: Systematic review and meta-analysis</t>
  </si>
  <si>
    <t>Home exposure/7</t>
  </si>
  <si>
    <t>A meta-analysis of the effects of secondhand smoke exposure toward the incidence of pneumonia in children under five</t>
  </si>
  <si>
    <t>Home exposure/12</t>
  </si>
  <si>
    <t>Parental and household smoking and the increased risk of bronchitis, bronchiolitis and other lower respiratory infections in infancy: systematic review and meta-analysis</t>
  </si>
  <si>
    <t>Home exposure/3</t>
  </si>
  <si>
    <t>Respiratory syncytial virus-associated infection</t>
  </si>
  <si>
    <t>Effects of parental and household smoking on the risk of respiratory syncytial virus (RSV) hospitalisation in late-preterm infants and the potential impact of RSV prophylaxis</t>
  </si>
  <si>
    <t>Risk factors for respiratory syncytial virus-associated acute lower respiratory infection in children under 5 years: An updated systematic review and meta-analysis</t>
  </si>
  <si>
    <t>Maternal Active (Prenatal or lactation)/8</t>
  </si>
  <si>
    <t>Risk factors for respiratory syncytial virus associated with acute lower respiratory infection in children under five years: Systematic review and meta-analysis</t>
  </si>
  <si>
    <t>Maternal Active (Prenatal)/7</t>
  </si>
  <si>
    <t>Home or other places/8</t>
  </si>
  <si>
    <t>Risk factors for mortality from acute lower respiratory infections (ALRI) in children under five years of age in low and middle-income countries: a systematic review and meta-analysis of observational studies</t>
  </si>
  <si>
    <t>Respiratory syncytial virus-associated infection(update research)</t>
  </si>
  <si>
    <t>Maternal Risk Factors for Respiratory Syncytial Virus Lower Respiratory Tract Infection in Otherwise Healthy Preterm and Term Infants: A Systematic Review and Meta-analysis</t>
  </si>
  <si>
    <t>Maternal Active (Prenatal)/6</t>
  </si>
  <si>
    <t>Bronchitis, bronchiolitis and other lower respiratory infections</t>
  </si>
  <si>
    <t>Environmental tobacco smoke/54</t>
  </si>
  <si>
    <t>Asthma identified as a major risk factor for recurrent respiratory tract infections in children: a meta-analysis of 29 studies</t>
  </si>
  <si>
    <t>Environmental tobacco smoke/6</t>
  </si>
  <si>
    <t>Epidemiological evidence relating risk factors to chronic obstructive pulmonary disease in China: A systematic review and meta-analysis</t>
  </si>
  <si>
    <t>Home, work, or combined exposure/11</t>
  </si>
  <si>
    <t>Secondhand Smoke Exposure and the Risk of Chronic Obstructive Pulmonary Disease: A Systematic Review and Meta-Analysis</t>
  </si>
  <si>
    <t>COPD in the major nonsmoking adult: A systematic review and meta-analysis</t>
  </si>
  <si>
    <t>Impact of early life exposures on COPD in adulthood: A systematic review and meta-analysis</t>
  </si>
  <si>
    <t>Home, work, or combined exposure/2</t>
  </si>
  <si>
    <t>Home, work, or combined exposure/5</t>
  </si>
  <si>
    <t>Rhinosinusitis/Rhinoconjunctivitis</t>
  </si>
  <si>
    <t>Thacher JD 2018</t>
  </si>
  <si>
    <t>Risk factors of chronic cough in China: a systematic review and meta-analysis</t>
  </si>
  <si>
    <t>Home, work, or combined exposure/12</t>
  </si>
  <si>
    <t>The risk factors for chronic cough in children: A meta-analysis covering five continents</t>
  </si>
  <si>
    <t>What is the association between secondhand smoke (SHS) and possible obstructive sleep apnea: a meta-analysis</t>
  </si>
  <si>
    <t>Association between prenatal or postpartum exposure to tobacco smoking and allergic rhinitis in the offspring: An updated meta-analysis of nine cohort studies</t>
  </si>
  <si>
    <t>Maternal Active (Prenatal) or Home, work, or combined exposure (Postnatal)/9</t>
  </si>
  <si>
    <t>Prevalence and Risk Factors for Allergic Rhinitis in China: A Systematic Review and Meta-Analysis</t>
  </si>
  <si>
    <t>Home or other places/7</t>
  </si>
  <si>
    <t>Maternal tobacco exposure during pregnancy and allergic rhinitis in offspring: A systematic review and meta-analysis</t>
  </si>
  <si>
    <t>Maternal active/passive/17</t>
  </si>
  <si>
    <t>Active or passive exposure to tobacco smoking and allergic rhinitis, allergic dermatitis, and food allergy in adults and children: a systematic review and meta-analysis</t>
  </si>
  <si>
    <t>Maternal Active (Prenatal) or Home, work, or combined exposure (Postnatal)/64</t>
  </si>
  <si>
    <t>Lung function and secondhand smoke exposure among children with cystic fibrosis: A Bayesian meta-analysis</t>
  </si>
  <si>
    <t>Home, work, or combined exposure/6</t>
  </si>
  <si>
    <t>Home or other places/2</t>
  </si>
  <si>
    <t>Lung cancer</t>
  </si>
  <si>
    <t>Lung cancer occurrence attributable to passive smoking among never smokers in China: a systematic review and meta-analysis</t>
  </si>
  <si>
    <t>Home, work, or combined exposure/31</t>
  </si>
  <si>
    <t>[Relationship between environmental tobacco smoke and lung cancer risk among nonsmokers in China: A meta-analysis]</t>
  </si>
  <si>
    <t>Home, work, or combined exposure/22</t>
  </si>
  <si>
    <t>Secondhand smoke exposure and risk of lung cancer in Japan: a systematic review and meta-analysis of epidemiologic studies</t>
  </si>
  <si>
    <t>Influencing factors of lung cancer in nonsmoking women: systematic review and meta-analysis</t>
  </si>
  <si>
    <t>Work exposure/15</t>
  </si>
  <si>
    <t>Meta-Analysis and Systematic Review in Environmental Tobacco Smoke Risk of Female Lung Cancer by Research Type</t>
  </si>
  <si>
    <t>Umbrella review</t>
  </si>
  <si>
    <t>Association between second-hand smoke exposure and lung cancer risk in never-smokers: a systematic review and meta-analysis</t>
  </si>
  <si>
    <t>Home, work, or combined exposure/82</t>
  </si>
  <si>
    <t>A meta-analysis of the relationship between environmental tobacco smoke and lung cancer risk of nonsmoker in China</t>
  </si>
  <si>
    <t>Home, work, or combined exposure/20</t>
  </si>
  <si>
    <t>Lung cancer risk and workplace exposure to environmental tobacco smoke</t>
  </si>
  <si>
    <t>Meta-analysis of studies of passive smoking and lung cancer: effects of study type and continent</t>
  </si>
  <si>
    <t>Home exposure/51</t>
  </si>
  <si>
    <t>[Meta-analysis on related risk factors regarding lung cancer in non-smoking Chinese women]</t>
  </si>
  <si>
    <t>Home, work, or combined exposure/8</t>
  </si>
  <si>
    <t>Exposure to Secondhand Smoke and Risk of Cancer in Never Smokers: A Meta-Analysis of Epidemiologic Studies</t>
  </si>
  <si>
    <t>Risk of childhood cancer and adult lung cancer after childhood exposure to passive smoke: A meta-analysis</t>
  </si>
  <si>
    <t>Home exposure/11</t>
  </si>
  <si>
    <t>[Meta-analysis of the relationship between passive smoking population in China and lung cancer]</t>
  </si>
  <si>
    <t>MA9</t>
  </si>
  <si>
    <t>Lung cancer(update research)</t>
  </si>
  <si>
    <t>Second-Hand Smoke Exposure and Risk of Lung Cancer Among Nonsmokers in the United States: A Systematic Review and Meta-Analysis</t>
  </si>
  <si>
    <t>MA10</t>
  </si>
  <si>
    <t>Air pollution and lung cancer risks in China - a meta-analysis</t>
  </si>
  <si>
    <t>MA11</t>
  </si>
  <si>
    <t>The relationship of indoor coal use and environmental tobacco smoke exposure with lung cancer in China: A meta-analysis</t>
  </si>
  <si>
    <t>MA12</t>
  </si>
  <si>
    <t>Breast cancer</t>
  </si>
  <si>
    <t>Active and passive smoking with breast cancer risk for Chinese females: a systematic review and meta-analysis</t>
  </si>
  <si>
    <t>Effect of passive smoking on female breast cancer in China: a meta-analysis</t>
  </si>
  <si>
    <t>Accumulating evidence on passive and active smoking and breast cancer risk</t>
  </si>
  <si>
    <t>Active and passive smoking and risk of breast cancer: a meta-analysis</t>
  </si>
  <si>
    <t>Home, work, or combined exposure/32</t>
  </si>
  <si>
    <t>The association between exposure to environmental tobacco smoke and breast cancer: a review by the California Environmental Protection Agency</t>
  </si>
  <si>
    <t>Passive smoking and breast cancer in never smokers: prospective study and meta-analysis</t>
  </si>
  <si>
    <t>Home, work, or combined exposure/25</t>
  </si>
  <si>
    <t>Exposure to second-hand smoke and breast cancer risk in non-smoking women: a comprehensive systematic review and meta-analysis</t>
  </si>
  <si>
    <t>Home, work, or combined exposure/51(Dose)</t>
  </si>
  <si>
    <t>Relationship between Passive Smoking and Female Breast Cancer on the Basis of Meta-Analysis</t>
  </si>
  <si>
    <t>Home, work, or combined exposure/10</t>
  </si>
  <si>
    <t>Lack of an association between passive smoking and incidence of female breast cancer in non-smokers: evidence from 10 prospective cohort studies</t>
  </si>
  <si>
    <t>Breast Cancer Risk From Modifiable and Non-Modifiable Risk Factors among Palestinian Women: A Systematic Review and Meta-Analysis</t>
  </si>
  <si>
    <t>MA13</t>
  </si>
  <si>
    <t>Breast cancer(update research)</t>
  </si>
  <si>
    <t>Environmental tobacco smoke exposure and risk of breast cancer in nonsmoking women. An updated review and meta-analysis</t>
  </si>
  <si>
    <t>MA14</t>
  </si>
  <si>
    <t>Home, work, or combined exposure/63</t>
  </si>
  <si>
    <t>Cervical cancer</t>
  </si>
  <si>
    <t>Second-hand smoke exposure and cervical cancer: a systematic review and meta-analysis</t>
  </si>
  <si>
    <t>The relation of passive smoking with cervical cancer: A systematic review and meta-analysis</t>
  </si>
  <si>
    <t>Home, work, or combined exposure/14</t>
  </si>
  <si>
    <t>Passive smoking and cervical cancer risk: a meta-analysis based on 3,230 cases and 2,982 controls</t>
  </si>
  <si>
    <t>Epidemiological evidence on environmental tobacco smoke and cancers other than lung or breast</t>
  </si>
  <si>
    <t>Maternal smoking during pregnancy and childhood lymphoma: a meta-analysis</t>
  </si>
  <si>
    <t>Maternal Active (Prenatal)/4</t>
  </si>
  <si>
    <t>Maternal Smoking and the Risk of Cancer in Early Life - A Meta-Analysis</t>
  </si>
  <si>
    <t>Maternal Active (Prenatal)/5</t>
  </si>
  <si>
    <t>Paternal Smoking Before Conception and During Pregnancy Is Associated With an Increased Risk of Childhood Acute Lymphoblastic Leukemia: A Systematic Review and Meta-Analysis of 17 Case-Control Studies</t>
  </si>
  <si>
    <t>Maternal Passive(Prenatal)/9</t>
  </si>
  <si>
    <t>Tobacco smoke exposure and the risk of childhood acute lymphoblastic leukemia and acute myeloid leukemia: A meta-analysis</t>
  </si>
  <si>
    <t>Maternal Active (Prenatal and Postnatal)/13</t>
  </si>
  <si>
    <t>Maternal Passive(Prenatal)/Home(Postnatal)/11</t>
  </si>
  <si>
    <t>Maternal smoking during pregnancy and risk for childhood leukemia: a nationwide case-control study in Greece and meta-analysis</t>
  </si>
  <si>
    <t>Maternal Active (Prenatal)/20</t>
  </si>
  <si>
    <t>Paternal smoking and risk of childhood acute lymphoblastic leukemia: systematic review and meta-analysis</t>
  </si>
  <si>
    <t>Maternal Passive(Prenatal)/Home(Postnatal)/18</t>
  </si>
  <si>
    <t>Maternal Passive(Prenatal)/3</t>
  </si>
  <si>
    <t>Parental Tobacco Smoking and Acute Myeloid Leukemia The Childhood Leukemia International Consortium</t>
  </si>
  <si>
    <t>Maternal Active (Prenatal)/21</t>
  </si>
  <si>
    <t>Maternal Active (Prenatal and Postnatal)/9</t>
  </si>
  <si>
    <t>Maternal Passive(Prenatal)/Home(Postnatal)/10</t>
  </si>
  <si>
    <t>Maternal Passive(Prenatal)/10</t>
  </si>
  <si>
    <t>Maternal Active (Prenatal)/13</t>
  </si>
  <si>
    <t>Maternal Active (Prenatal and Postnatal)/10</t>
  </si>
  <si>
    <t>Maternal Passive(Prenatal)/Home(Postnatal)/7</t>
  </si>
  <si>
    <t>Maternal Active (Prenatal)/15</t>
  </si>
  <si>
    <t>Bladder cancer</t>
  </si>
  <si>
    <t>Secondhand Smoking, 4-Aminobiphenyl, and Bladder Cancer: Two Meta-analyses</t>
  </si>
  <si>
    <t>A Stratified Meta-Analysis of the Association between Exposure to Environmental Tobacco Smoke during Childhood and Adulthood and Urothelial Bladder Cancer Risk</t>
  </si>
  <si>
    <t>Secondhand smoking increases bladder cancer risk in nonsmoking population: a meta-analysis</t>
  </si>
  <si>
    <t>Bladder cancer(update research)</t>
  </si>
  <si>
    <t>Second-hand smoke and bladder cancer risk among nonsmokers: a systematic review and a meta-analysis</t>
  </si>
  <si>
    <t>Home, work, or combined exposure/4</t>
  </si>
  <si>
    <t>Maternal Active (Prenatal)/3</t>
  </si>
  <si>
    <t>Maternal lifestyle characteristics and Wilms tumor risk in the offspring: A systematic review and meta-analysis</t>
  </si>
  <si>
    <t>Head and neck Cancer</t>
  </si>
  <si>
    <t>Secondhand smoke exposure and oral cancer risk: a systematic review and meta-analysis</t>
  </si>
  <si>
    <t>Passive smoking and risk of head and neck cancer: a systematic review and meta-analysis</t>
  </si>
  <si>
    <r>
      <rPr>
        <sz val="11"/>
        <color theme="1"/>
        <rFont val="Arial"/>
        <charset val="134"/>
      </rPr>
      <t>Home or other places(Postnatal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/8</t>
    </r>
  </si>
  <si>
    <t>Oral cancer</t>
  </si>
  <si>
    <t>Maternal passive(Paternal smoking)/14</t>
  </si>
  <si>
    <t>Maternal smoking during pregnancy and risk of childhood neuroblastoma: Systematic review and meta-analysis</t>
  </si>
  <si>
    <t>Maternal Active (Prenatal)/7（neuroblastoma）</t>
  </si>
  <si>
    <t>Maternal smoking, consumption of alcohol, and caffeinated beverages during pregnancy and the risk of childhood brain tumors: a meta-analysis of observational studies</t>
  </si>
  <si>
    <t>Maternal passive(Paternal smoking)/10</t>
  </si>
  <si>
    <t>A meta-analysis of parental smoking and the risk of childhood brain tumors</t>
  </si>
  <si>
    <t>Maternal Active (Prenatal)/16</t>
  </si>
  <si>
    <t>Paternal smoking during pregnancy and the risk of childhood brain tumors: results of a meta-analysis</t>
  </si>
  <si>
    <t>Maternal smoking during pregnancy and the risk of childhood brain tumors: a meta-analysis of 6566 subjects from twelve epidemiological studies</t>
  </si>
  <si>
    <t>Maternal Active (Prenatal)/12</t>
  </si>
  <si>
    <t>Maternal lifestyle factors and risk of neuroblastoma in the offspring: A meta-analysis including Greek NARECHEM-ST primary data</t>
  </si>
  <si>
    <t>Maternal Active (Prenatal)/17</t>
  </si>
  <si>
    <t>Risk factors for childhood brain tumours: A systematic review and meta-analysis of observational studies from 1976 to 2022</t>
  </si>
  <si>
    <t>Maternal Active (Prenatal)/22</t>
  </si>
  <si>
    <t>Maternal passive(Paternal smoking)/8</t>
  </si>
  <si>
    <t>Parental smoking, maternal alcohol consumption during pregnancy and the risk of neuroblastoma in children. A pooled analysis of the ESCALE and ESTELLE French studies</t>
  </si>
  <si>
    <t>IPD (The ESCALE and ESTELLE studies)</t>
  </si>
  <si>
    <t>Maternal Active (Prenatal)/18</t>
  </si>
  <si>
    <t>Brain Tumor(update research)</t>
  </si>
  <si>
    <t>Tobacco, alcohol and illicit drugs during pregnancy and risk of neuroblastoma: systematic review</t>
  </si>
  <si>
    <t>Pancreatic cancer</t>
  </si>
  <si>
    <t>Passive smoking and risk of pancreatic cancer: an updated systematic review and meta-analysis</t>
  </si>
  <si>
    <t>Environmental tobacco smoke and the risk of pancreatic cancer among non-smokers: a meta-analysis</t>
  </si>
  <si>
    <t>Passive Smoking and Risk of Colorectal Cancer: A Meta-analysis of Observational Studies</t>
  </si>
  <si>
    <t>Postnatal/7</t>
  </si>
  <si>
    <t>Liver cancer</t>
  </si>
  <si>
    <t>Association Between Environmental and Socioeconomic Risk Factors and Hepatocellular Carcinoma: A Meta-Analysis</t>
  </si>
  <si>
    <t>Maternal active/3</t>
  </si>
  <si>
    <t>Soft Tissue Sarcoma</t>
  </si>
  <si>
    <t>Bone cancer</t>
  </si>
  <si>
    <t>The associations of secondhand smoke exposure with neurodevelopmental disorders and critical time window identification: A systematic review and meta-analysis</t>
  </si>
  <si>
    <t>Maternal Active(Prenatal)/23</t>
  </si>
  <si>
    <t>Effect of maternal smoking during pregnancy on Tourette syndrome and chronic tic disorders among offspring: a systematic review and meta-analysis</t>
  </si>
  <si>
    <t>Infant neurobehavioural consequences of prenatal cigarette exposure: A systematic review and meta-analysis</t>
  </si>
  <si>
    <t>Neurodevelopmental disorders(update research)</t>
  </si>
  <si>
    <t>The correlation between prenatal maternal active smoking and neurodevelopmental disorders in children: a systematic review and meta-analysis</t>
  </si>
  <si>
    <t>Maternal Active(Prenatal)/8</t>
  </si>
  <si>
    <t>Prenatal exposure to maternal smoking during pregnancy and attention-deficit/hyperactivity disorder in offspring: A meta-analysis</t>
  </si>
  <si>
    <t>Maternal Active(Prenatal)/21</t>
  </si>
  <si>
    <t>The impact of paternal alcohol, tobacco, caffeine use and physical activity on offspring mental health: a systematic review and meta-analysis</t>
  </si>
  <si>
    <t>Maternal passive(Paternal smoking)/5</t>
  </si>
  <si>
    <t>Prenatal Tobacco Exposure and Behavioral Disorders in Children and Adolescents: Systematic Review and Meta-Analysis</t>
  </si>
  <si>
    <t>Maternal Active(Prenatal)/10</t>
  </si>
  <si>
    <t>Prenatal smoking, alcohol and caffeine exposure and offspring externalizing disorders: a systematic review and meta-analysis</t>
  </si>
  <si>
    <t>Maternal Active(Prenatal)/7</t>
  </si>
  <si>
    <t>Maternal passive(Paternal smoking)/2</t>
  </si>
  <si>
    <t>Maternal Smoking During Pregnancy and ADHD: Results From a Systematic Review and Meta-Analysis of Prospective Cohort Studies</t>
  </si>
  <si>
    <t>Maternal Active(Prenatal)/12</t>
  </si>
  <si>
    <t>Association between postnatal second-hand smoke exposure and ADHD in children: a systematic review and meta-analysis</t>
  </si>
  <si>
    <t>Home or other places/9</t>
  </si>
  <si>
    <t>Maternal Smoking and Attention-Deficit/Hyperactivity Disorder in Offspring: A Meta-analysis</t>
  </si>
  <si>
    <t>Maternal passive(Paternal smoking)/7</t>
  </si>
  <si>
    <t>Systematic Review and Meta-analysis of the Relationship Between Exposure to Parental Substance Use and Attention-Deficit/Hyperactivity Disorder in Children</t>
  </si>
  <si>
    <t>Home or other places/5</t>
  </si>
  <si>
    <t>ADHD(updated search)</t>
  </si>
  <si>
    <t>The association between maternal tobacco smoking during pregnancy and the risk of attention-deficit/hyperactivity disorder (ADHD) in offspring: A systematic review and meta-analysis</t>
  </si>
  <si>
    <t>Maternal Active(Prenatal)/55</t>
  </si>
  <si>
    <t>Relationship between Secondhand Smoke Exposure and Depressive Symptoms: A Systematic Review and Dose-Response Meta-Analysis</t>
  </si>
  <si>
    <t>Home, work, or combined exposure/24</t>
  </si>
  <si>
    <t>Association of second hand smoke exposure and depression: A systematic review and meta-analysis</t>
  </si>
  <si>
    <t>Association of secondhand smoke and depressive symptoms in nonsmoking pregnant Women: A systematic review and meta-analysis</t>
  </si>
  <si>
    <t>Maternal Smoking in Pregnancy and Offspring Depression: a cross cohort and negative control study</t>
  </si>
  <si>
    <t>Maternal Active/Passive(Prenatal)-IPD</t>
  </si>
  <si>
    <t>Secondhand smoke exposure and mental health in adults: a meta-analysis of cross-sectional studies</t>
  </si>
  <si>
    <t>Association between indoor air pollution and depression: a systematic review and meta-analysis of cohort studies</t>
  </si>
  <si>
    <t>Prevalence and risk factors of perinatal depression among mothers and fathers in Pakistan: a systematic review and meta-analysis</t>
  </si>
  <si>
    <t>Home, work, or combined exposure/1</t>
  </si>
  <si>
    <t>Secondhand Smoke Exposure and Autism Spectrum Disorder: A Meta-analysis</t>
  </si>
  <si>
    <t>Home exposure/4</t>
  </si>
  <si>
    <t>Maternal smoking and autism spectrum disorder: meta-analysis with population smoking metrics as moderators</t>
  </si>
  <si>
    <t>Maternal Active(Prenatal)/22</t>
  </si>
  <si>
    <t>Maternal Smoking and Autism Spectrum Disorder: A Meta-analysis</t>
  </si>
  <si>
    <t>Maternal Active(Prenatal)/15(Data not applicable)</t>
  </si>
  <si>
    <t>A Meta-Analysis of Maternal Smoking during Pregnancy and Autism Spectrum Disorder Risk in Offspring</t>
  </si>
  <si>
    <t>Maternal Active(Prenatal)/14</t>
  </si>
  <si>
    <t>[Cohort studies on the association between maternal smoking during pregnancy and autism spectrum disorders of children: a Meta-analysis]</t>
  </si>
  <si>
    <t>Autism Spectrum Disorder(update research)</t>
  </si>
  <si>
    <t>Prenatal, perinatal, and postnatal factors associated with autism A meta-analysis</t>
  </si>
  <si>
    <t>Maternal Active(Prenatal)/9</t>
  </si>
  <si>
    <t>Tourette syndrome/chronic tic disorders</t>
  </si>
  <si>
    <t>The impact of long-term exposure to ambient air pollution and second-hand smoke on the onset of Parkinson disease: a review and meta-analysis</t>
  </si>
  <si>
    <t>The Effects of Tobacco Smoking, and Prenatal Tobacco Smoke Exposure, on Risk of Schizophrenia: A Systematic Review and Meta-Analysis</t>
  </si>
  <si>
    <t>Schizophrenia(update research)</t>
  </si>
  <si>
    <t>Prenatal and perinatal risk and protective factors for psychosis: a systematic review and meta-analysis</t>
  </si>
  <si>
    <t>Maternal Active (Prenatal)/8(Data not applicable)</t>
  </si>
  <si>
    <t>Impact of prenatal, neonatal, and postnatal factors on epilepsy risk in children and adolescents: a systematic review and meta-analysis</t>
  </si>
  <si>
    <t>Passive smoke exposure and risk of diabetes: a meta-analysis of prospective studies</t>
  </si>
  <si>
    <t>Parental smoking, type 1 diabetes, and islet autoantibody positivity in the offspring: A systematic review and meta-analysis</t>
  </si>
  <si>
    <t>Maternal Active (Prenatal)/19</t>
  </si>
  <si>
    <t>The influence of maternal body mass index, maternal diabetes mellitus, and maternal smoking during pregnancy on the risk of childhood-onset type 1 diabetes mellitus in the offspring: Systematic review and meta-analysis of observational studies</t>
  </si>
  <si>
    <t>Maternal Active (Prenatal)/10</t>
  </si>
  <si>
    <t>Relation of active, passive, and quitting smoking with incident type 2 diabetes: a systematic review and meta-analysis</t>
  </si>
  <si>
    <t>Effect of passive smoking exposure on risk of type 2 diabetes: a systematic review and meta-analysis of prospective cohort studies</t>
  </si>
  <si>
    <t>Home, work, or combined exposure/10 (prospective cohorts)</t>
  </si>
  <si>
    <t>Passive smoking and risk of type 2 diabetes: a meta-analysis of prospective cohort studies</t>
  </si>
  <si>
    <t>A meta-analysis of passive smoking and risk of developing Type 2 Diabetes Mellitus</t>
  </si>
  <si>
    <t>The association between passive smoking and type 2 diabetes: a meta-analysis</t>
  </si>
  <si>
    <t>Gestational diabetes</t>
  </si>
  <si>
    <t>Passive smoking and risk of gestational diabetes mellitus: A systematic review and meta-analysis</t>
  </si>
  <si>
    <t>Offspring overweight/obesity</t>
  </si>
  <si>
    <t>Maternal Active(Prenatal)/22(IPD)</t>
  </si>
  <si>
    <t>Albers L 2018(1)</t>
  </si>
  <si>
    <t>Maternal smoking during pregnancy and offspring overweight: is there a dose-response relationship? An individual patient data meta-analysis</t>
  </si>
  <si>
    <t>Maternal Active(Prenatal)/16(IPD, data not applicable)</t>
  </si>
  <si>
    <t>Maternal smoking during pregnancy and offspring body mass index and overweight: a systematic review and meta-analysis</t>
  </si>
  <si>
    <t>Maternal Active(Prenatal)/51</t>
  </si>
  <si>
    <t>Maternal smoking during pregnancy and offspring obesity: meta-analysis</t>
  </si>
  <si>
    <t>Maternal Active(Prenatal)/17</t>
  </si>
  <si>
    <t>Maternal smoking during pregnancy and child overweight: systematic review and meta-analysis</t>
  </si>
  <si>
    <t>Systematic review and meta-analysis of the association between maternal smoking in pregnancy and childhood overweight and obesity</t>
  </si>
  <si>
    <t>Maternal Active(Prenatal)/35</t>
  </si>
  <si>
    <t>Parental smoking and childhood obesity: higher effect estimates for maternal smoking in pregnancy compared with paternal smoking--a meta-analysis</t>
  </si>
  <si>
    <t>Systematic review and meta-analyses of risk factors for childhood overweight identifiable during infancy</t>
  </si>
  <si>
    <t>Offspring BMI Scores</t>
  </si>
  <si>
    <t>Albers L 2018(2)</t>
  </si>
  <si>
    <t>Differences in maternal smoking across successive pregnancies - dose-dependent relation to BMI z-score in the offspring: an individual patient data (IPD) meta-analysis</t>
  </si>
  <si>
    <t>Maternal Active(Prenatal)/5(IPD, data not applicable)</t>
  </si>
  <si>
    <t>Maternal Active(Prenatal)/27</t>
  </si>
  <si>
    <t>Age Differences in the Relationship between Secondhand Smoke Exposure and Risk of Metabolic Syndrome: A Meta-Analysis</t>
  </si>
  <si>
    <t>Other outcomes</t>
  </si>
  <si>
    <t>Air pollution exposure and prevalence of non-alcoholic fatty liver disease and related cirrhosis: A systematic review and meta-analysis</t>
  </si>
  <si>
    <t xml:space="preserve">Jones DT 2008 </t>
  </si>
  <si>
    <t>Passive smoking and inflammatory bowel disease: a meta-analysis</t>
  </si>
  <si>
    <t>Maternal Active(Prenatal)/5</t>
  </si>
  <si>
    <t>Antibiotics, passive smoking, high socioeconomic status and sweetened foods contribute to the risk of paediatric inflammatory bowel disease: A systematic review with meta-analysis</t>
  </si>
  <si>
    <t>Maternal Active/Passive(Prenatal)/4</t>
  </si>
  <si>
    <t>Rheumatoid arthritis</t>
  </si>
  <si>
    <t>Association between passive smoking and the risk of rheumatoid arthritis: a systematic review and meta-analysis</t>
  </si>
  <si>
    <t>Multiple sclerosis</t>
  </si>
  <si>
    <t>Prenatal and perinatal factors associated with developing multiple sclerosis later in life: A systematic review and meta-analysis</t>
  </si>
  <si>
    <t>Middle ear disease</t>
  </si>
  <si>
    <t>Parental smoking and the risk of middle ear disease in children: a systematic review and meta-analysis</t>
  </si>
  <si>
    <t>Home or other places (Postnatal)/49</t>
  </si>
  <si>
    <t>Risk factors associated with the development of chronic suppurative otitis media in children: Systematic review and meta-analysis</t>
  </si>
  <si>
    <t>Home (Postnatal)/3</t>
  </si>
  <si>
    <t>Systematic literature review of modifiable risk factors for recurrent acute otitis media in childhood</t>
  </si>
  <si>
    <t>Home or other places(Postnatal）/19</t>
  </si>
  <si>
    <t>Risk factors for chronic and recurrent otitis media-a meta-analysis</t>
  </si>
  <si>
    <t>Home or other places(Postnatal）/9</t>
  </si>
  <si>
    <t>Association between passive tobacco exposure and caries in children and adolescents. A systematic review and meta-analysis</t>
  </si>
  <si>
    <t>Maternal Active (Prenatal)/Home or other places(Postnatal)/21</t>
  </si>
  <si>
    <t>Does secondhand smoke affect the development of dental caries in children? A systematic review</t>
  </si>
  <si>
    <t>Maternal Active (Prenatal)/Home or other places(Postnatal)/15</t>
  </si>
  <si>
    <t>Influences of Maternal Nutrition and Lifestyle Factors on Early Childhood Oral Health: A Systematic Review of Mechanisms and Intervention Strategies</t>
  </si>
  <si>
    <t>Maternal Active (Prenatal)/13[Data not applicable]</t>
  </si>
  <si>
    <t>RISK PREDICTORS OF EARLY CHILDHOOD CARIES INCREMENT-A SYSTEMATIC REVIEW AND META-ANALYSIS</t>
  </si>
  <si>
    <t>Maternal smoking during pregnancy and early childhood dental caries in children: a systematic review and meta-analysis</t>
  </si>
  <si>
    <t>Correlation Between Maternal Smoking During Pregnancy and Dental Caries in Children: A Systematic Review and Meta-Analysis</t>
  </si>
  <si>
    <t>Maternal Active (Prenatal)/11</t>
  </si>
  <si>
    <t>Home or other places/15</t>
  </si>
  <si>
    <t>Caries(update research)</t>
  </si>
  <si>
    <t>Secondary Smoking and Early Childhood Caries: A Systematic Review and Meta-Analysis</t>
  </si>
  <si>
    <t>Systematic Review and Meta-analysis of the Association Between Exposure to Environmental Tobacco Smoke and Periodontitis Endpoints Among Nonsmokers</t>
  </si>
  <si>
    <t>Maternal tobacco exposure during pregnancy and atopic dermatitis in offspring: A systematic review and meta-analysis</t>
  </si>
  <si>
    <t>Smoke exposure and childhood atopic eczema and food allergy: A systematic review and meta-analysis</t>
  </si>
  <si>
    <t>Home exposure or other places/6</t>
  </si>
  <si>
    <t>A systematic review and meta-analysis of risk factors associated with atopic dermatitis in Asia</t>
  </si>
  <si>
    <t>Home exposure or other places/3</t>
  </si>
  <si>
    <t>Maternal Active (Prenatal)/Home or other places(Postnatal)/58</t>
  </si>
  <si>
    <t>Prenatal Maternal Risk Factors Contributing to Atopic Dermatitis: A Systematic Review and Meta-Analysis of Cohort Studies</t>
  </si>
  <si>
    <t>Maternal Active (Prenatal)/1(Data not applicable)</t>
  </si>
  <si>
    <t>Association of atopic dermatitis with active and passive smoking: A systematic review and meta-analysis</t>
  </si>
  <si>
    <t>Atopic dermatitis/eczema（updated search）</t>
  </si>
  <si>
    <t>Climate Conditions, Weather Changes, and Air Pollutants and Atopic Dermatitis: A Meta-Analysis</t>
  </si>
  <si>
    <t>Food allergy</t>
  </si>
  <si>
    <t>Home exposure or other places/4</t>
  </si>
  <si>
    <t>Environmental tobacco smoke increases risk of allergic sensitization in children: systematic review with meta-analysis</t>
  </si>
  <si>
    <t>Home exposure or other places/10</t>
  </si>
  <si>
    <t>Allergic Sensitization</t>
  </si>
  <si>
    <t>Meta-analysis of maternal smoking and aeroallergen sensitization during childhood in eight European birth cohorts</t>
  </si>
  <si>
    <t>Other reasons</t>
  </si>
  <si>
    <t>Association of secondhand smoke exposure with pediatric invasive bacterial disease and bacterial carriage: a systematic review and meta-analysis</t>
  </si>
  <si>
    <t>Home or other places (Postnatal)/16</t>
  </si>
  <si>
    <t>Second hand smoke exposure and the risk of invasive meningococcal disease in children: systematic review and meta-analysis</t>
  </si>
  <si>
    <r>
      <rPr>
        <sz val="11"/>
        <color theme="1"/>
        <rFont val="宋体"/>
        <charset val="134"/>
        <scheme val="minor"/>
      </rPr>
      <t>Home or other places(Postnatal)/16</t>
    </r>
    <r>
      <rPr>
        <b/>
        <sz val="11"/>
        <color theme="1"/>
        <rFont val="宋体"/>
        <charset val="134"/>
        <scheme val="minor"/>
      </rPr>
      <t>[Exclude Yusuf,1999(Prenatal maternal active smoking)]</t>
    </r>
  </si>
  <si>
    <t>Tobacco smoking and meningococcal disease in adolescents and young adults: a systematic review and meta-analysis</t>
  </si>
  <si>
    <t>Home or other places (Postnatal)/8</t>
  </si>
  <si>
    <t>Risk factors for meningococcal disease in children and adolescents: a systematic review and META-analysis</t>
  </si>
  <si>
    <t>Home or other places (Postnatal)/3</t>
  </si>
  <si>
    <t>Second-hand smoke and the risk of tuberculosis: a systematic review and a meta-analysis</t>
  </si>
  <si>
    <t>Childhood tuberculosis and exposure to indoor air pollution: a systematic review and meta-analysis</t>
  </si>
  <si>
    <t>Tobacco smoke, indoor air pollution and tuberculosis: a systematic review and meta-analysis</t>
  </si>
  <si>
    <t>Association between indoor air pollution, tobacco smoke and tuberculosis: an updated systematic review and meta-analysis</t>
  </si>
  <si>
    <t>Exposure to second-hand smoke and the risk of tuberculosis in children and adults: a systematic review and meta-analysis of 18 observational studies</t>
  </si>
  <si>
    <t>Home, work, or combined exposure/18</t>
  </si>
  <si>
    <t>Risk factors for the development of tuberculosis among the pediatric population: a systematic review and meta-analysis</t>
  </si>
  <si>
    <t>Tuberculosis(update research)</t>
  </si>
  <si>
    <t>Secondhand Smoke Exposure and the Risk of Tuberculosis in Children: A Systematic Review and Meta-Analysis</t>
  </si>
  <si>
    <t>Juvenile idiopathic arthritis</t>
  </si>
  <si>
    <t>Moving from nature to nurture: a systematic review and meta-analysis of environmental factors associated with juvenile idiopathic arthritis</t>
  </si>
  <si>
    <t>Maternal active/4</t>
  </si>
  <si>
    <t>A systematic review and meta-analysis of environmental factors associated with juvenile idiopathic arthritis</t>
  </si>
  <si>
    <t>Influence of passive smoking on the onset of Legg-Calvè-Perthes disease: a systematic review and meta-analysis</t>
  </si>
  <si>
    <t>Bone Fractures</t>
  </si>
  <si>
    <t>Association between maternal smoking during pregnancy and risk of bone fractures in offspring: a systematic review and meta-analysis</t>
  </si>
  <si>
    <t>A Meta-Analysis for Association of Maternal Smoking with Childhood Refractive Error and Amblyopia</t>
  </si>
  <si>
    <t>Maternal smoking during pregnancy and the risk of strabismus in offspring: a meta-analysis</t>
  </si>
  <si>
    <t>Maternal Active(Prenatal)/11</t>
  </si>
  <si>
    <t>Maternal substance use during pregnancy and offspring conduct problems: A meta-analysis</t>
  </si>
  <si>
    <t>Offspring tobacco smoking and dependence</t>
  </si>
  <si>
    <t>Prenatal Tobacco Exposure and the Risk of Tobacco Smoking and Dependence in Offspring: a Systematic Review and Meta-Analysis</t>
  </si>
  <si>
    <t>Exposure to parental and sibling smoking and the risk of smoking uptake in childhood and adolescence: a systematic review and meta-analysis</t>
  </si>
  <si>
    <t>Indoor secondhand tobacco smoke and risk of under-five mortality in 23 sub-Saharan Africa countries: A population based study and meta-analysis</t>
  </si>
  <si>
    <t>The Magnitude of Mortality from Ischemic Heart Disease Attributed to Occupational Factors in Korea - Attributable Fraction Estimation Using Meta-analysis</t>
  </si>
  <si>
    <t>Maternal smoking during pregnancy and intelligence quotient in offspring: A systematic review and meta-analysis</t>
  </si>
  <si>
    <t>The association between exposure to second-hand smoke and sleep disturbances: A systematic review and meta-analysis</t>
  </si>
  <si>
    <t>Association of prenatal and childhood environment smoking exposure with puberty timing: a systematic review and meta-analysis</t>
  </si>
  <si>
    <t>A meta-analysis provides evidence that prenatal smoking exposure decreases age at menarche</t>
  </si>
  <si>
    <t>Habitual Snoring</t>
  </si>
  <si>
    <t>Environmental tobacco smoke exposure and risk of habitual snoring in children: a meta-analysis</t>
  </si>
  <si>
    <t>Surgical outcomes</t>
  </si>
  <si>
    <t>Impact of environmental tobacco smoke exposure on anaesthetic and surgical outcomes in children: a systematic review and meta-analysis</t>
  </si>
  <si>
    <t>Bruxism</t>
  </si>
  <si>
    <t>The risk factors related to bruxism in children: A systematic review and meta-analysis</t>
  </si>
  <si>
    <t>Osseointegration</t>
  </si>
  <si>
    <t>Influence of involuntary cigarette smoke inhalation on osseointegration: a systematic review and meta-analysis of preclinical studies</t>
  </si>
  <si>
    <t>Child bone mineral density</t>
  </si>
  <si>
    <t>Association between maternal smoking and child bone mineral density: a systematic review and meta-analysis</t>
  </si>
  <si>
    <t>DNA Methylation</t>
  </si>
  <si>
    <t>DNA Methylation in Newborns and Maternal Smoking in Pregnancy: Genome-wide Consortium Meta-analysis</t>
  </si>
  <si>
    <t>updated search</t>
  </si>
  <si>
    <t>Association of exposure to second-hand smoke during childhood with blood DNA methylation</t>
  </si>
  <si>
    <t>Prenatal Smoking Exposures and Epigenome-wide Methylation in Newborn Blood</t>
  </si>
  <si>
    <t>Hypomineralized second primary molar</t>
  </si>
  <si>
    <t>Prenatal, perinatal and postnatal events associated with hypomineralized second primary molar: a systematic review with meta-analysis</t>
  </si>
  <si>
    <t>Poor periodontal status</t>
  </si>
  <si>
    <t>Is secondhand smoke exposure associated with poor periodontal status in children and adolescents? A systematic review and meta-analysis</t>
  </si>
  <si>
    <t>Lead and cadmium concentrations</t>
  </si>
  <si>
    <t>Association of environmental tobacco smoke (ETS) with lead and cadmium concentrations in biological samples of children and women: systematic review and meta-analysis</t>
  </si>
  <si>
    <t>Down syndrome</t>
  </si>
  <si>
    <t>Influence of maternal smoking on the birth prevalence of Down syndrome and on second trimester screening performance</t>
  </si>
  <si>
    <t>Offspring personality</t>
  </si>
  <si>
    <t>Maternal smoking during pregnancy and offspring personality in childhood and adulthood</t>
  </si>
  <si>
    <t>Breastfeeding Outcomes</t>
  </si>
  <si>
    <t>Secondhand Smoke Exposure During Pregnancy and Mothers' Subsequent Breastfeeding Outcomes: A Systematic Review and Meta-Analysis</t>
  </si>
  <si>
    <t>Vascular Structure</t>
  </si>
  <si>
    <t>Early Life Determinants of Vascular Structure in Fetuses, Infants, Children, and Adolescents: A Systematic Review and Meta-Analysis</t>
  </si>
  <si>
    <t>Suicide</t>
  </si>
  <si>
    <t>In-utero and perinatal influences on suicide risk: a systematic review and meta-analysis</t>
  </si>
  <si>
    <t>Cognitive impairment</t>
  </si>
  <si>
    <t>Brain structure and function(update research)</t>
  </si>
  <si>
    <t>Impact of prenatal tobacco exposure on brain structure and function in offspring: a systematic review and meta-analysis of MRI findings</t>
  </si>
  <si>
    <t>Study(AMSTAR 2)</t>
  </si>
  <si>
    <t>Leonardi-Bee J 2008（前瞻回顾的亚组合并重分析了）</t>
  </si>
  <si>
    <t>median</t>
  </si>
  <si>
    <t>min</t>
  </si>
  <si>
    <t>max</t>
  </si>
  <si>
    <r>
      <rPr>
        <b/>
        <sz val="11"/>
        <color theme="1"/>
        <rFont val="Arial"/>
        <charset val="134"/>
      </rPr>
      <t>FSN_Rosenthal</t>
    </r>
    <r>
      <rPr>
        <b/>
        <sz val="11"/>
        <color theme="1"/>
        <rFont val="宋体"/>
        <charset val="134"/>
      </rPr>
      <t>（排除掉最大最小值）</t>
    </r>
  </si>
  <si>
    <t>FSN-(5k+10)</t>
  </si>
  <si>
    <t>FSN median</t>
  </si>
  <si>
    <t>FSN min</t>
  </si>
  <si>
    <t>FSN max</t>
  </si>
  <si>
    <t>FSN median（排除掉最大最小值）</t>
  </si>
  <si>
    <t>7</t>
  </si>
  <si>
    <t>Exposure</t>
  </si>
  <si>
    <t>Population</t>
  </si>
  <si>
    <t>Maternal passive smoking before conception</t>
  </si>
  <si>
    <t>Household smoking exposure (Maternal smoking)</t>
  </si>
  <si>
    <t>Children exposed to passive smoking at home (Maternal smoking)</t>
  </si>
  <si>
    <t>Household smoking exposure (Paternal smoking)</t>
  </si>
  <si>
    <t>Children exposed to passive smoking at home (Paternal smoking)</t>
  </si>
  <si>
    <t>Secondhand smoke exposure and oral cancer risk: a systematic review and meta- analysis</t>
  </si>
  <si>
    <t>The impact of environmental tobacco smoke on women's risk of dying from heart disease: a meta-analysis</t>
  </si>
  <si>
    <t>Bronchopulmonary dysplasia 36 (Oxygen requirement at the postmenstrual age of 36 weeks)</t>
  </si>
  <si>
    <t>Congenital Digital Anomalies1 (Polydactyly/syndactyly/adactyly)</t>
  </si>
  <si>
    <t>Hernias3 (umbilical/ventral/inguinal)</t>
  </si>
  <si>
    <t>Intelligence quotient</t>
  </si>
  <si>
    <t>Offspring tobacco smoking</t>
  </si>
  <si>
    <t>序号</t>
  </si>
  <si>
    <t>题目</t>
  </si>
  <si>
    <t>暴露</t>
  </si>
  <si>
    <t>结局</t>
  </si>
  <si>
    <t>效应量</t>
  </si>
  <si>
    <t>值</t>
  </si>
  <si>
    <t>备注</t>
  </si>
  <si>
    <t>Include</t>
  </si>
  <si>
    <t>Exclude</t>
  </si>
  <si>
    <t>Prevalence and risk factors of perinatal depression among mothers and fathers in Pakistan: a systematic review and meta-analysis</t>
  </si>
  <si>
    <t>被动吸烟</t>
  </si>
  <si>
    <t>产前抑郁</t>
  </si>
  <si>
    <t>无对应数据</t>
  </si>
  <si>
    <t>The association between maternal smoking during pregnancy and dental development in offspring: a systematic review</t>
  </si>
  <si>
    <t>孕期母亲吸烟</t>
  </si>
  <si>
    <t>后代牙齿问题</t>
  </si>
  <si>
    <t>非Meta</t>
  </si>
  <si>
    <t>母亲孕期吸烟、产后二手烟暴露</t>
  </si>
  <si>
    <t>儿童血液中 DNA 甲基化</t>
  </si>
  <si>
    <t>Chemical Components in the Breast Milk of Passive Smoker Women: A Systematic Review and Health Risks Assessment</t>
  </si>
  <si>
    <t>环境烟草烟雾</t>
  </si>
  <si>
    <t>母乳中的化学成分</t>
  </si>
  <si>
    <t>Machine learning-derived asthma and allergy trajectories in children: a systematic review and meta-analysis</t>
  </si>
  <si>
    <t>结局提及烟草暴露与过敏轨迹相关</t>
  </si>
  <si>
    <t>Risk Factors for Severe Bronchiolitis in Australian and Aotearoa New Zealand Infants: A Systematic Review</t>
  </si>
  <si>
    <t>早产、肺发育不良</t>
  </si>
  <si>
    <t>HR</t>
  </si>
  <si>
    <t>n=2</t>
  </si>
  <si>
    <t>Risk Factors Related to the Development of Nonalcoholic Fatty Liver: A Systematic Review</t>
  </si>
  <si>
    <t>被动吸烟+肥胖±血脂异常</t>
  </si>
  <si>
    <t>非酒精性脂肪肝</t>
  </si>
  <si>
    <t>系统评价</t>
  </si>
  <si>
    <t>A systematic review on the role of paternal factors in human placental development, function, and pregnancy-related disorders</t>
  </si>
  <si>
    <t>父亲吸烟</t>
  </si>
  <si>
    <t>胎盘早剥、死产</t>
  </si>
  <si>
    <t>Assessment of Environmental Risk Factors for Gestational Diabetes Mellitus: A Ten-Year Systematic Review and Meta-Analysis</t>
  </si>
  <si>
    <t>妊娠吸烟</t>
  </si>
  <si>
    <t>妊娠糖尿病</t>
  </si>
  <si>
    <t>非二手烟暴露</t>
  </si>
  <si>
    <t>Asthma identified as a major risk factor for recurrent respiratory tract infections in children: a meta-analysis of 29 studies</t>
  </si>
  <si>
    <t>儿童复发性呼吸道感染</t>
  </si>
  <si>
    <t>n=7；PDF已保存</t>
  </si>
  <si>
    <t>重复发表</t>
  </si>
  <si>
    <t>Financial Rewards for Smoking Cessation During Pregnancy and Birth Weight A Meta-Analysis</t>
  </si>
  <si>
    <t>孕期母亲戒烟</t>
  </si>
  <si>
    <t>出生体重</t>
  </si>
  <si>
    <t>World no-tobacco: effects of second-hand smoke (SHS) and vapors on the developing and adult brain</t>
  </si>
  <si>
    <t>综述</t>
  </si>
  <si>
    <t>The Relationship Between Paternal Smoking and Overweight/Obesity with Childhood Overweight/Obesity: A Systematic Review</t>
  </si>
  <si>
    <t>儿童肥胖</t>
  </si>
  <si>
    <t>Associations of smoke-free policies in multi-unit housing with smoking behavior and second-hand smoke exposure: A systematic review</t>
  </si>
  <si>
    <t>非二手烟对健康的影响</t>
  </si>
  <si>
    <t>Environmental risk factors for all-cause dementia, Alzheimer's disease dementia, vascular dementia, and mild cognitive impairment: An umbrella review and meta-analysis</t>
  </si>
  <si>
    <t>全因痴呆</t>
  </si>
  <si>
    <t>n=1</t>
  </si>
  <si>
    <t>Urinary cotinine cut-off concentrations in children under 5 years for assessing environmental tobacco smoke exposure: a systematic review and meta-analysis protocol</t>
  </si>
  <si>
    <t>研究方案</t>
  </si>
  <si>
    <t>Understanding Social Inequalities in Childhood Asthma: Quantifying the Mediating Role of Modifiable Early-Life Risk Factors in Seven European Birth Cohorts</t>
  </si>
  <si>
    <t>孕期吸烟</t>
  </si>
  <si>
    <t>儿童哮喘</t>
  </si>
  <si>
    <t>孕期吸烟对母亲教育的中介效应</t>
  </si>
  <si>
    <t>Global, regional and national trends in the burden of persistent pulmonary hypertension of the newborn and essentials of its management from 1993 to 2023: a scoping review</t>
  </si>
  <si>
    <t>非酒精性脂肪性肝病及相关肝硬化的患病率</t>
  </si>
  <si>
    <t>母亲孕期吸烟</t>
  </si>
  <si>
    <t>儿童多动症</t>
  </si>
  <si>
    <t>环境烟草烟雾暴露</t>
  </si>
  <si>
    <t>早产</t>
  </si>
  <si>
    <t>孕妇吸烟、孕妇被动吸烟</t>
  </si>
  <si>
    <t>儿童食管闭锁</t>
  </si>
  <si>
    <t>0.77/1.249</t>
  </si>
  <si>
    <t>8、4</t>
  </si>
  <si>
    <t>Associations between multiple perinatal exposures and risk of childhood hospitalisation with infection: a registry-based study in two countries</t>
  </si>
  <si>
    <t>孕妇吸烟</t>
  </si>
  <si>
    <t>The Associations Between Secondhand Smoke Exposure and Various Cardiovascular Diseases: A Meta-Analysis</t>
  </si>
  <si>
    <t>二手烟</t>
  </si>
  <si>
    <t>心血管疾病</t>
  </si>
  <si>
    <t>特应性皮炎</t>
  </si>
  <si>
    <t>学龄前反复喘息</t>
  </si>
  <si>
    <t>Only abstract</t>
  </si>
  <si>
    <t>＜5岁儿童肺炎</t>
  </si>
  <si>
    <t>围产期吸烟</t>
  </si>
  <si>
    <t>后代大脑MRI变化</t>
  </si>
  <si>
    <t>神经管畸形</t>
  </si>
  <si>
    <t>The invisible enemy: A systematic review and meta-analysis of maternal smokeless tobacco use as a risk factor for low birth weight</t>
  </si>
  <si>
    <t>低出生体重</t>
  </si>
  <si>
    <t>头颈癌风险</t>
  </si>
  <si>
    <t>1..7</t>
  </si>
  <si>
    <t>无</t>
  </si>
  <si>
    <t>19个队列，非常规meta</t>
  </si>
  <si>
    <t>Prevalence of tobacco and alcohol use among pregnant women in India: a systematic review and meta-analysis</t>
  </si>
  <si>
    <t>孕妇吸烟患病率，非对健康影响</t>
  </si>
  <si>
    <t>膀胱癌</t>
  </si>
  <si>
    <t>肺癌</t>
  </si>
  <si>
    <t>儿童早期龋齿</t>
  </si>
  <si>
    <t>儿童、成人潜伏/活动结核感染</t>
  </si>
  <si>
    <t>妊娠期主动/被动吸烟</t>
  </si>
  <si>
    <t>自然流产</t>
  </si>
  <si>
    <t>exp</t>
  </si>
  <si>
    <t>1.33/1.32</t>
  </si>
  <si>
    <t>9-11</t>
  </si>
  <si>
    <t>引文+被引</t>
  </si>
  <si>
    <t>title</t>
  </si>
  <si>
    <t>N</t>
  </si>
  <si>
    <t>纳排</t>
  </si>
  <si>
    <t>母亲吸烟</t>
  </si>
  <si>
    <t>儿童唇裂、腭裂</t>
  </si>
  <si>
    <t>Maternal smoking during pregnancy and testicular cancer in the sons: A nested case-control study and a meta-analysis</t>
  </si>
  <si>
    <t>后代睾丸癌</t>
  </si>
  <si>
    <t>Paternal Smoking and Risk of Childhood Acute Lymphoblastic Leukemia: Systematic Review andMeta-Analysis</t>
  </si>
  <si>
    <t>父母吸烟</t>
  </si>
  <si>
    <t>后代白血病</t>
  </si>
  <si>
    <t>Prenatal exposure to smoking and male reproductive health</t>
  </si>
  <si>
    <t>Prenatal risk factors for Tourette Syndrome: a systematic review</t>
  </si>
  <si>
    <t>抽动秽语综合征</t>
  </si>
  <si>
    <t>Epidemiology of loss pregnancy</t>
  </si>
  <si>
    <t>The Health Effects of Passive Smoking: An Overview of Systematic Reviews Based on Observational Epidemiological Evidence</t>
  </si>
  <si>
    <t>健康</t>
  </si>
  <si>
    <t>Smoking during pregnancy and vision difficulties in children: a systematic review</t>
  </si>
  <si>
    <t>儿童视力困难</t>
  </si>
  <si>
    <t>Maternal Smokeless Tobacco Use in Pregnancy and Adverse Health Outcomes in Newborns: A Systematic Review</t>
  </si>
  <si>
    <t>新生儿不良结局</t>
  </si>
  <si>
    <t>Exposure to Secondhand Tobacco Smoke and Interventions Among Pregnant Women in China: A Systematic Review</t>
  </si>
  <si>
    <t>乳腺癌</t>
  </si>
  <si>
    <t>Environmental tobacco smoke exposure and lung cancer: A systematic review</t>
  </si>
  <si>
    <t>总102</t>
  </si>
  <si>
    <t>A systematic review of modifiable risk factors in the progression of multiple sclerosis</t>
  </si>
  <si>
    <t>吸烟</t>
  </si>
  <si>
    <t>产前围产期产后吸烟</t>
  </si>
  <si>
    <t>儿童自闭症</t>
  </si>
  <si>
    <t>The effect of outdoor air pollution on the risk of hospitalisation for bronchiolitis in infants: a systematic review</t>
  </si>
  <si>
    <t>空气污染，非二手烟</t>
  </si>
  <si>
    <t>神经母细胞瘤</t>
  </si>
  <si>
    <t>总14</t>
  </si>
  <si>
    <t>The relation of passive smoking with cervical cancer A systematic review and meta-analysis</t>
  </si>
  <si>
    <t>宫颈癌</t>
  </si>
  <si>
    <t>Understanding the effect of indoor air pollution on pneumonia in children under 5 in low- and middle-income countries: a systematic review of evidence</t>
  </si>
  <si>
    <t>室内空气污染，非二手烟</t>
  </si>
  <si>
    <t>Burden of disease attributable to second-hand smoke exposure: A systematic review</t>
  </si>
  <si>
    <t>健康疾病负担</t>
  </si>
  <si>
    <t>Burden of respiratory disease attributable to secondhand smoke exposure at home in children in Spain (2015)</t>
  </si>
  <si>
    <t>儿童多种健康结局</t>
  </si>
  <si>
    <t>Environmental Risk Factors for Inflammatory Bowel Diseases: An Umbrella Review of Meta-analyses</t>
  </si>
  <si>
    <t>Urban-rural environmental exposure during childhood and subsequent risk of inflammatory bowel disease: a meta-analysis</t>
  </si>
  <si>
    <t>城乡环境暴露，非二手烟</t>
  </si>
  <si>
    <t>精神分裂</t>
  </si>
  <si>
    <t>Potential effects of using non-combustible tobacco and nicotine products during pregnancy: a systematic review</t>
  </si>
  <si>
    <t>孕期使用不可燃烟草和尼古丁制品</t>
  </si>
  <si>
    <t>Effects of dual cannabis-tobacco consumption on pregnancy and offspring: a systematic review</t>
  </si>
  <si>
    <t>大麻-烟草</t>
  </si>
  <si>
    <t>Exposure to Tobacco, Environmental Tobacco Smoke and Nicotine in Pregnancy: A Pragmatic Overview of Reviews of Maternal and Child Outcomes, Effectiveness of Interventions and Barriers and Facilitators to Quitting</t>
  </si>
  <si>
    <t>多种儿童健康结局</t>
  </si>
  <si>
    <t>Secondhand Smoking and Depressive Symptoms Among In-School Adolescents</t>
  </si>
  <si>
    <t>Air pollution and mortality among infant and children under five years: A systematic review and meta-analysis</t>
  </si>
  <si>
    <t>空气污染非二手烟</t>
  </si>
  <si>
    <t>The Enduring Effects of Parental Alcohol, Tobacco, and Drug Use on Child Well-being: A Multilevel Meta-Analysis</t>
  </si>
  <si>
    <t>非健康结局</t>
  </si>
  <si>
    <t>Association of Tobacco Use and Exposure to Secondhand Smoke With Suicide Attempts Among Adolescents: Findings From 33 Countries</t>
  </si>
  <si>
    <t>烟草、二手烟</t>
  </si>
  <si>
    <t>青少年自杀未遂</t>
  </si>
  <si>
    <t>Adverse health effects associated with household air pollution: a systematic review, meta-analysis, and burden estimation study</t>
  </si>
  <si>
    <t>Early life exposures and the risk of inflammatory bowel disease: Systematic review and meta-analyses</t>
  </si>
  <si>
    <t>后代IBD、CD</t>
  </si>
  <si>
    <t>＞1</t>
  </si>
  <si>
    <t>Health outcomes of smoking during pregnancy and the postpartum period: an umbrella review</t>
  </si>
  <si>
    <t>后代多种健康结局</t>
  </si>
  <si>
    <t>Burden of disease from exposure to secondhand smoke in children in Europe</t>
  </si>
  <si>
    <t>儿童疾病负担</t>
  </si>
  <si>
    <t>Maternal acute and chronic inflammation in pregnancy is associated with common neurodevelopmental disorders: a systematic review</t>
  </si>
  <si>
    <t>儿童神经发育障碍</t>
  </si>
  <si>
    <t>The Effectiveness of Smoking Cessation, Alcohol Reduction, Diet and Physical Activity Interventions in Improving Maternal and Infant Health Outcomes: A Systematic Review of Meta-Analyses</t>
  </si>
  <si>
    <t>Enablers and barriers to women's lifestyle behavior change during the preconception period: A systematic review</t>
  </si>
  <si>
    <t>Environmental and Genetic Risk Factors of Congenital Anomalies: an Umbrella Review of Systematic Reviews and Meta-Analyses</t>
  </si>
  <si>
    <t>Anything New about Paternal Contribution to Reproductive Outcomes? A Review of the Evidence</t>
  </si>
  <si>
    <t>女性吸烟</t>
  </si>
  <si>
    <t>复发性流产</t>
  </si>
  <si>
    <t>Risk and protective factors for mental disorders with onset in childhood/adolescence: An umbrella review of published meta-analyses of observational longitudinal studies</t>
  </si>
  <si>
    <t>儿童精神病障碍</t>
  </si>
  <si>
    <t>Environmental Risk Factors and Congenital Heart Disease: An Umbrella Review of 165 Systematic Reviews and Meta-Analyses With More Than 120 Million Participants</t>
  </si>
  <si>
    <t>心脏疾病</t>
  </si>
  <si>
    <t>Relationships between Women's and Men's Modifiable Preconception Risks and Health Behaviors and Maternal and Offspring Health Outcomes: An Umbrella Review</t>
  </si>
  <si>
    <t>Ambient air pollution and non-communicable respiratory illness in sub-Saharan Africa: a systematic review of the literature</t>
  </si>
  <si>
    <t>空气污染 非二手烟</t>
  </si>
  <si>
    <t>Maternal tobacco smoking and offspring autism spectrum disorder or traits in ECHO cohorts</t>
  </si>
  <si>
    <t>后代自闭</t>
  </si>
  <si>
    <t>Polycyclic aromatic hydrocarbons (PAHs) may explain the paradoxical effects of cigarette use on preeclampsia (PE)</t>
  </si>
  <si>
    <t>Impact of Prenatal Exposure to Smoking on Child Health</t>
  </si>
  <si>
    <t>产前主动被动吸烟</t>
  </si>
  <si>
    <t>Environmental Risk Factors for Childhood Acute Lymphoblastic Leukemia: An Umbrella Review</t>
  </si>
  <si>
    <t>儿童白血病</t>
  </si>
  <si>
    <t>Association between air pollution and the prevalence of allergic rhinitis in Chinese children: A systematic review and meta-analysis</t>
  </si>
  <si>
    <t>Risk factors for the development of lung cancer among never smokers: A systematic review</t>
  </si>
  <si>
    <t>The correlation between chronic exposure to particulate matter and spontaneous abortion: A meta-analysis</t>
  </si>
  <si>
    <t>产前母亲吸烟</t>
  </si>
  <si>
    <t>Ambient air pollution and clinical dementia: systematic review and meta-analysis</t>
  </si>
  <si>
    <t>Preterm birth among Pacific Islanders in the United States and the US-affiliated Pacific Islands: A systematic review and meta-analysis</t>
  </si>
  <si>
    <t>宫内发育迟缓</t>
  </si>
  <si>
    <t>Prenatal Exposure to Air Pollutants Associated with Allergic Diseases in Children: Which Pollutant, When Exposure, and What Disease? A Systematic Review and Meta-analysis</t>
  </si>
  <si>
    <t>Maternal factors for neural tube defects in offspring: An umbrella review</t>
  </si>
  <si>
    <t>后代神经管发育不良</t>
  </si>
  <si>
    <t>Maternal modifiable factors and risk of congenital heart defects: systematic review and causality assessment</t>
  </si>
  <si>
    <t>儿童呼吸道合胞病毒感染</t>
  </si>
  <si>
    <t>Chemical exposome and children health: Identification of dose-response relationships from meta-analyses and epidemiological studies</t>
  </si>
  <si>
    <t>烟草</t>
  </si>
  <si>
    <t>各种健康结局</t>
  </si>
  <si>
    <t>Causes of Childhood Cancer: A Review of Literature (2014-2021): Part 2-Pregnancy and Birth-Related Factors</t>
  </si>
  <si>
    <t>Maternal vaping and pregnancy adverse outcomes: A systematic review and meta-analysis</t>
  </si>
  <si>
    <t>孕妇吸烟（电子烟、吸烟）</t>
  </si>
  <si>
    <t>早产、低出生体重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</si>
</sst>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10"/>
      <color rgb="FF212121"/>
      <name val="Segoe UI"/>
      <charset val="134"/>
    </font>
    <font>
      <sz val="8"/>
      <color rgb="FF1F1F1F"/>
      <name val="Georgia"/>
      <charset val="134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b/>
      <sz val="11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2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Arial"/>
      <charset val="134"/>
    </font>
    <font>
      <vertAlign val="superscript"/>
      <sz val="11"/>
      <name val="Arial"/>
      <charset val="134"/>
    </font>
    <font>
      <sz val="10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6" borderId="1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2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7" borderId="4" applyNumberFormat="0" applyAlignment="0" applyProtection="0">
      <alignment vertical="center"/>
    </xf>
    <xf numFmtId="0" fontId="36" fillId="18" borderId="5" applyNumberFormat="0" applyAlignment="0" applyProtection="0">
      <alignment vertical="center"/>
    </xf>
    <xf numFmtId="0" fontId="37" fillId="18" borderId="4" applyNumberFormat="0" applyAlignment="0" applyProtection="0">
      <alignment vertical="center"/>
    </xf>
    <xf numFmtId="0" fontId="38" fillId="19" borderId="6" applyNumberFormat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0" fontId="0" fillId="3" borderId="0" xfId="0" applyFill="1" applyAlignment="1">
      <alignment horizontal="center"/>
    </xf>
    <xf numFmtId="0" fontId="0" fillId="4" borderId="0" xfId="0" applyFill="1" applyAlignment="1"/>
    <xf numFmtId="0" fontId="0" fillId="3" borderId="0" xfId="0" applyFill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58" fontId="0" fillId="3" borderId="0" xfId="0" applyNumberFormat="1" applyFill="1" applyAlignment="1"/>
    <xf numFmtId="49" fontId="0" fillId="3" borderId="0" xfId="0" applyNumberFormat="1" applyFill="1" applyAlignment="1"/>
    <xf numFmtId="49" fontId="0" fillId="2" borderId="0" xfId="0" applyNumberFormat="1" applyFill="1" applyAlignment="1"/>
    <xf numFmtId="0" fontId="0" fillId="0" borderId="0" xfId="0" applyFill="1" applyAlignment="1">
      <alignment vertical="center"/>
    </xf>
    <xf numFmtId="0" fontId="3" fillId="3" borderId="0" xfId="0" applyFont="1" applyFill="1" applyAlignment="1"/>
    <xf numFmtId="0" fontId="3" fillId="4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49" fontId="8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9" fillId="5" borderId="0" xfId="0" applyFont="1" applyFill="1">
      <alignment vertical="center"/>
    </xf>
    <xf numFmtId="0" fontId="9" fillId="3" borderId="0" xfId="0" applyFont="1" applyFill="1">
      <alignment vertical="center"/>
    </xf>
    <xf numFmtId="49" fontId="9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9" fillId="6" borderId="0" xfId="0" applyFont="1" applyFill="1">
      <alignment vertical="center"/>
    </xf>
    <xf numFmtId="0" fontId="13" fillId="0" borderId="0" xfId="0" applyFont="1">
      <alignment vertical="center"/>
    </xf>
    <xf numFmtId="0" fontId="9" fillId="7" borderId="0" xfId="0" applyFont="1" applyFill="1">
      <alignment vertical="center"/>
    </xf>
    <xf numFmtId="0" fontId="0" fillId="0" borderId="0" xfId="0" applyAlignment="1"/>
    <xf numFmtId="0" fontId="9" fillId="8" borderId="0" xfId="0" applyFont="1" applyFill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9" fillId="9" borderId="0" xfId="0" applyFont="1" applyFill="1">
      <alignment vertical="center"/>
    </xf>
    <xf numFmtId="0" fontId="14" fillId="10" borderId="0" xfId="0" applyFont="1" applyFill="1">
      <alignment vertical="center"/>
    </xf>
    <xf numFmtId="49" fontId="9" fillId="3" borderId="0" xfId="0" applyNumberFormat="1" applyFont="1" applyFill="1">
      <alignment vertical="center"/>
    </xf>
    <xf numFmtId="0" fontId="9" fillId="10" borderId="0" xfId="0" applyFont="1" applyFill="1">
      <alignment vertical="center"/>
    </xf>
    <xf numFmtId="0" fontId="0" fillId="3" borderId="0" xfId="0" applyFill="1">
      <alignment vertical="center"/>
    </xf>
    <xf numFmtId="0" fontId="13" fillId="3" borderId="0" xfId="0" applyFont="1" applyFill="1">
      <alignment vertical="center"/>
    </xf>
    <xf numFmtId="0" fontId="14" fillId="11" borderId="0" xfId="0" applyFont="1" applyFill="1">
      <alignment vertical="center"/>
    </xf>
    <xf numFmtId="0" fontId="9" fillId="11" borderId="0" xfId="0" applyFont="1" applyFill="1">
      <alignment vertical="center"/>
    </xf>
    <xf numFmtId="0" fontId="15" fillId="3" borderId="0" xfId="0" applyFont="1" applyFill="1" applyAlignment="1">
      <alignment horizontal="justify" vertical="center"/>
    </xf>
    <xf numFmtId="0" fontId="9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 wrapText="1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58" fontId="9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3" fontId="9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5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7" fillId="0" borderId="0" xfId="0" applyFont="1">
      <alignment vertical="center"/>
    </xf>
    <xf numFmtId="0" fontId="21" fillId="0" borderId="0" xfId="0" applyFont="1">
      <alignment vertical="center"/>
    </xf>
    <xf numFmtId="0" fontId="0" fillId="12" borderId="0" xfId="0" applyFill="1">
      <alignment vertical="center"/>
    </xf>
    <xf numFmtId="0" fontId="14" fillId="3" borderId="0" xfId="0" applyFont="1" applyFill="1">
      <alignment vertical="center"/>
    </xf>
    <xf numFmtId="0" fontId="0" fillId="13" borderId="0" xfId="0" applyFill="1">
      <alignment vertical="center"/>
    </xf>
    <xf numFmtId="0" fontId="3" fillId="13" borderId="0" xfId="0" applyFont="1" applyFill="1">
      <alignment vertical="center"/>
    </xf>
    <xf numFmtId="0" fontId="20" fillId="0" borderId="0" xfId="0" applyFont="1">
      <alignment vertical="center"/>
    </xf>
    <xf numFmtId="0" fontId="18" fillId="3" borderId="0" xfId="0" applyFont="1" applyFill="1">
      <alignment vertical="center"/>
    </xf>
    <xf numFmtId="0" fontId="22" fillId="0" borderId="0" xfId="0" applyFont="1">
      <alignment vertical="center"/>
    </xf>
    <xf numFmtId="0" fontId="21" fillId="3" borderId="0" xfId="0" applyFont="1" applyFill="1">
      <alignment vertical="center"/>
    </xf>
    <xf numFmtId="0" fontId="0" fillId="10" borderId="0" xfId="0" applyFill="1">
      <alignment vertical="center"/>
    </xf>
    <xf numFmtId="0" fontId="3" fillId="10" borderId="0" xfId="0" applyFont="1" applyFill="1">
      <alignment vertical="center"/>
    </xf>
    <xf numFmtId="0" fontId="21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7" fillId="9" borderId="0" xfId="0" applyFont="1" applyFill="1">
      <alignment vertical="center"/>
    </xf>
    <xf numFmtId="0" fontId="0" fillId="14" borderId="0" xfId="0" applyFill="1">
      <alignment vertical="center"/>
    </xf>
    <xf numFmtId="0" fontId="14" fillId="0" borderId="0" xfId="0" applyFont="1" applyAlignment="1">
      <alignment horizontal="justify" vertical="center"/>
    </xf>
    <xf numFmtId="0" fontId="9" fillId="14" borderId="0" xfId="0" applyFont="1" applyFill="1">
      <alignment vertical="center"/>
    </xf>
    <xf numFmtId="0" fontId="19" fillId="3" borderId="0" xfId="0" applyFont="1" applyFill="1">
      <alignment vertical="center"/>
    </xf>
    <xf numFmtId="0" fontId="25" fillId="0" borderId="0" xfId="0" applyFont="1">
      <alignment vertical="center"/>
    </xf>
    <xf numFmtId="0" fontId="25" fillId="3" borderId="0" xfId="0" applyFont="1" applyFill="1">
      <alignment vertical="center"/>
    </xf>
    <xf numFmtId="0" fontId="25" fillId="14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0" fillId="15" borderId="0" xfId="0" applyFill="1">
      <alignment vertical="center"/>
    </xf>
    <xf numFmtId="0" fontId="8" fillId="15" borderId="0" xfId="0" applyFont="1" applyFill="1">
      <alignment vertical="center"/>
    </xf>
    <xf numFmtId="0" fontId="8" fillId="4" borderId="0" xfId="0" applyFont="1" applyFill="1">
      <alignment vertical="center"/>
    </xf>
    <xf numFmtId="0" fontId="9" fillId="15" borderId="0" xfId="0" applyFont="1" applyFill="1">
      <alignment vertical="center"/>
    </xf>
    <xf numFmtId="0" fontId="9" fillId="4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0" fontId="13" fillId="3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11" borderId="0" xfId="0" applyFont="1" applyFill="1">
      <alignment vertical="center"/>
    </xf>
    <xf numFmtId="0" fontId="26" fillId="0" borderId="0" xfId="0" applyFont="1">
      <alignment vertical="center"/>
    </xf>
    <xf numFmtId="0" fontId="13" fillId="10" borderId="0" xfId="0" applyFont="1" applyFill="1" applyAlignment="1">
      <alignment horizontal="left" vertical="center"/>
    </xf>
    <xf numFmtId="49" fontId="13" fillId="0" borderId="0" xfId="0" applyNumberFormat="1" applyFont="1" applyAlignment="1">
      <alignment horizontal="center" vertical="center"/>
    </xf>
    <xf numFmtId="0" fontId="9" fillId="0" borderId="0" xfId="0" applyFont="1" applyFill="1">
      <alignment vertical="center"/>
    </xf>
    <xf numFmtId="0" fontId="8" fillId="5" borderId="0" xfId="0" applyFont="1" applyFill="1">
      <alignment vertical="center"/>
    </xf>
    <xf numFmtId="0" fontId="4" fillId="0" borderId="0" xfId="0" applyFont="1" applyFill="1" applyAlignment="1">
      <alignment horizontal="center"/>
    </xf>
    <xf numFmtId="0" fontId="8" fillId="0" borderId="0" xfId="0" applyFont="1" applyFill="1">
      <alignment vertical="center"/>
    </xf>
    <xf numFmtId="0" fontId="0" fillId="0" borderId="0" xfId="0" applyFont="1">
      <alignment vertical="center"/>
    </xf>
    <xf numFmtId="14" fontId="9" fillId="0" borderId="0" xfId="0" applyNumberFormat="1" applyFont="1">
      <alignment vertical="center"/>
    </xf>
    <xf numFmtId="0" fontId="0" fillId="0" borderId="0" xfId="0" applyFont="1" applyFill="1" applyAlignment="1"/>
    <xf numFmtId="14" fontId="9" fillId="3" borderId="0" xfId="0" applyNumberFormat="1" applyFont="1" applyFill="1">
      <alignment vertical="center"/>
    </xf>
    <xf numFmtId="0" fontId="0" fillId="0" borderId="0" xfId="0" applyFont="1" applyAlignment="1"/>
    <xf numFmtId="0" fontId="9" fillId="0" borderId="0" xfId="0" applyFont="1" quotePrefix="1">
      <alignment vertical="center"/>
    </xf>
    <xf numFmtId="0" fontId="0" fillId="0" borderId="0" xfId="0" quotePrefix="1">
      <alignment vertical="center"/>
    </xf>
    <xf numFmtId="14" fontId="9" fillId="0" borderId="0" xfId="0" applyNumberFormat="1" applyFont="1" quotePrefix="1">
      <alignment vertical="center"/>
    </xf>
    <xf numFmtId="0" fontId="9" fillId="9" borderId="0" xfId="0" applyFont="1" applyFill="1" quotePrefix="1">
      <alignment vertical="center"/>
    </xf>
    <xf numFmtId="14" fontId="9" fillId="3" borderId="0" xfId="0" applyNumberFormat="1" applyFont="1" applyFill="1" quotePrefix="1">
      <alignment vertical="center"/>
    </xf>
    <xf numFmtId="0" fontId="9" fillId="3" borderId="0" xfId="0" applyFont="1" applyFill="1" quotePrefix="1">
      <alignment vertical="center"/>
    </xf>
    <xf numFmtId="0" fontId="0" fillId="3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32"/>
  <sheetViews>
    <sheetView tabSelected="1" zoomScale="70" zoomScaleNormal="70" workbookViewId="0">
      <selection activeCell="J10" sqref="J10"/>
    </sheetView>
  </sheetViews>
  <sheetFormatPr defaultColWidth="8.69090909090909" defaultRowHeight="14"/>
  <cols>
    <col min="1" max="1" width="21.6090909090909" style="27" customWidth="1"/>
    <col min="2" max="2" width="35.0545454545455" style="42" customWidth="1"/>
    <col min="3" max="3" width="32.4545454545455" style="27" customWidth="1"/>
    <col min="4" max="4" width="44.2818181818182" style="27" customWidth="1"/>
    <col min="5" max="5" width="34.9272727272727" style="27" customWidth="1"/>
    <col min="6" max="6" width="16.2272727272727" style="27" customWidth="1"/>
    <col min="7" max="7" width="17.6636363636364" style="27" customWidth="1"/>
    <col min="8" max="8" width="14" style="27"/>
    <col min="9" max="9" width="27.2272727272727" style="27" customWidth="1"/>
    <col min="10" max="13" width="18.5363636363636" style="27" customWidth="1"/>
    <col min="14" max="14" width="92.3090909090909" style="27" customWidth="1"/>
    <col min="15" max="15" width="34.6909090909091" style="27" customWidth="1"/>
    <col min="16" max="16" width="16.2272727272727" style="27" customWidth="1"/>
    <col min="17" max="18" width="27.2272727272727" style="27" customWidth="1"/>
    <col min="19" max="21" width="27.6090909090909" style="27" customWidth="1"/>
    <col min="22" max="22" width="22.4636363636364" style="27" customWidth="1"/>
    <col min="23" max="23" width="18.5363636363636" style="27" customWidth="1"/>
    <col min="24" max="24" width="14" style="27"/>
    <col min="25" max="25" width="27.9181818181818" style="27" customWidth="1"/>
    <col min="26" max="26" width="22.6090909090909" style="27" customWidth="1"/>
    <col min="27" max="27" width="22" style="27" customWidth="1"/>
    <col min="28" max="28" width="17.4636363636364" style="27" customWidth="1"/>
    <col min="29" max="29" width="18.5363636363636" style="27" customWidth="1"/>
    <col min="30" max="30" width="21.0727272727273" customWidth="1"/>
    <col min="31" max="31" width="22.9181818181818" customWidth="1"/>
    <col min="32" max="32" width="30.9181818181818" customWidth="1"/>
    <col min="33" max="33" width="21.3090909090909" customWidth="1"/>
    <col min="34" max="34" width="23.6090909090909" customWidth="1"/>
    <col min="35" max="35" width="21.3818181818182" style="27" customWidth="1"/>
    <col min="36" max="36" width="21.5545454545455" style="113" customWidth="1"/>
    <col min="37" max="37" width="15.0727272727273" customWidth="1"/>
  </cols>
  <sheetData>
    <row r="1" spans="1:37">
      <c r="A1" s="26" t="s">
        <v>0</v>
      </c>
      <c r="B1" s="29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114" t="s">
        <v>6</v>
      </c>
      <c r="H1" s="26" t="s">
        <v>7</v>
      </c>
      <c r="I1" s="26" t="s">
        <v>8</v>
      </c>
      <c r="J1" s="115" t="s">
        <v>9</v>
      </c>
      <c r="K1" s="115" t="s">
        <v>10</v>
      </c>
      <c r="L1" s="115" t="s">
        <v>11</v>
      </c>
      <c r="M1" s="26" t="s">
        <v>12</v>
      </c>
      <c r="N1" s="26" t="s">
        <v>13</v>
      </c>
      <c r="O1" s="26" t="s">
        <v>4</v>
      </c>
      <c r="P1" s="26" t="s">
        <v>5</v>
      </c>
      <c r="Q1" s="26" t="s">
        <v>14</v>
      </c>
      <c r="R1" s="26" t="s">
        <v>8</v>
      </c>
      <c r="S1" s="31" t="s">
        <v>15</v>
      </c>
      <c r="T1" s="31"/>
      <c r="U1" s="31" t="s">
        <v>16</v>
      </c>
      <c r="V1" s="114" t="s">
        <v>6</v>
      </c>
      <c r="W1" s="26"/>
      <c r="X1" s="26" t="s">
        <v>7</v>
      </c>
      <c r="Y1" s="26" t="s">
        <v>17</v>
      </c>
      <c r="Z1" s="26" t="s">
        <v>18</v>
      </c>
      <c r="AA1" s="26" t="s">
        <v>19</v>
      </c>
      <c r="AB1" s="26" t="s">
        <v>20</v>
      </c>
      <c r="AC1" s="26" t="s">
        <v>12</v>
      </c>
      <c r="AD1" s="26" t="s">
        <v>21</v>
      </c>
      <c r="AE1" s="26" t="s">
        <v>22</v>
      </c>
      <c r="AF1" s="26" t="s">
        <v>23</v>
      </c>
      <c r="AG1" s="26" t="s">
        <v>24</v>
      </c>
      <c r="AH1" s="26" t="s">
        <v>25</v>
      </c>
      <c r="AI1" s="26" t="s">
        <v>26</v>
      </c>
      <c r="AJ1" s="116" t="s">
        <v>27</v>
      </c>
      <c r="AK1" s="32" t="s">
        <v>28</v>
      </c>
    </row>
    <row r="2" spans="1:37">
      <c r="B2" s="29" t="s">
        <v>29</v>
      </c>
      <c r="AD2" s="27"/>
      <c r="AE2" s="27"/>
      <c r="AF2" s="27"/>
      <c r="AG2" s="27"/>
      <c r="AH2" s="27"/>
      <c r="AK2" s="106"/>
    </row>
    <row r="3" spans="1:37">
      <c r="A3" s="33" t="s">
        <v>30</v>
      </c>
      <c r="B3" s="27" t="s">
        <v>31</v>
      </c>
      <c r="C3" s="34" t="s">
        <v>32</v>
      </c>
      <c r="D3" s="27" t="s">
        <v>33</v>
      </c>
      <c r="E3" s="27" t="s">
        <v>34</v>
      </c>
      <c r="F3" s="122" t="s">
        <v>35</v>
      </c>
      <c r="G3" t="s">
        <v>36</v>
      </c>
      <c r="H3" s="27" t="s">
        <v>37</v>
      </c>
      <c r="I3" s="27">
        <v>4550</v>
      </c>
      <c r="J3"/>
      <c r="K3"/>
      <c r="L3"/>
      <c r="M3">
        <v>0.464</v>
      </c>
      <c r="N3" s="27" t="s">
        <v>38</v>
      </c>
      <c r="O3" s="27" t="s">
        <v>34</v>
      </c>
      <c r="P3" s="122" t="s">
        <v>35</v>
      </c>
      <c r="Q3" s="27" t="s">
        <v>39</v>
      </c>
      <c r="R3" s="27">
        <v>4550</v>
      </c>
      <c r="S3" s="27">
        <v>101096</v>
      </c>
      <c r="U3" s="27" t="s">
        <v>40</v>
      </c>
      <c r="V3" t="s">
        <v>36</v>
      </c>
      <c r="W3"/>
      <c r="X3" s="27" t="s">
        <v>37</v>
      </c>
      <c r="Y3" s="27" t="s">
        <v>41</v>
      </c>
      <c r="Z3">
        <v>0.799</v>
      </c>
      <c r="AA3" s="36">
        <v>1</v>
      </c>
      <c r="AB3">
        <v>5.6</v>
      </c>
      <c r="AC3">
        <v>0.464</v>
      </c>
      <c r="AD3" t="s">
        <v>42</v>
      </c>
      <c r="AE3">
        <v>72</v>
      </c>
      <c r="AF3">
        <v>12</v>
      </c>
      <c r="AG3">
        <v>155</v>
      </c>
      <c r="AH3">
        <v>22</v>
      </c>
      <c r="AI3" s="27" t="s">
        <v>43</v>
      </c>
      <c r="AJ3" s="113" t="s">
        <v>44</v>
      </c>
      <c r="AK3" s="38" t="s">
        <v>45</v>
      </c>
    </row>
    <row r="4" spans="1:37">
      <c r="A4" s="33" t="s">
        <v>46</v>
      </c>
      <c r="B4" s="27" t="s">
        <v>31</v>
      </c>
      <c r="C4" s="34" t="s">
        <v>32</v>
      </c>
      <c r="D4" s="27" t="s">
        <v>33</v>
      </c>
      <c r="E4" s="27" t="s">
        <v>47</v>
      </c>
      <c r="F4" s="122" t="s">
        <v>48</v>
      </c>
      <c r="G4" s="117" t="s">
        <v>49</v>
      </c>
      <c r="H4" s="27" t="s">
        <v>37</v>
      </c>
      <c r="I4" s="27">
        <v>1593</v>
      </c>
      <c r="J4"/>
      <c r="K4"/>
      <c r="L4"/>
      <c r="M4">
        <v>0.000617</v>
      </c>
      <c r="N4" s="27" t="s">
        <v>38</v>
      </c>
      <c r="O4" s="27" t="s">
        <v>47</v>
      </c>
      <c r="P4" s="122" t="s">
        <v>48</v>
      </c>
      <c r="Q4" s="27" t="s">
        <v>50</v>
      </c>
      <c r="R4" s="27">
        <v>1593</v>
      </c>
      <c r="S4" s="27">
        <v>29951</v>
      </c>
      <c r="U4" s="27" t="s">
        <v>51</v>
      </c>
      <c r="V4" s="117" t="s">
        <v>49</v>
      </c>
      <c r="W4"/>
      <c r="X4" s="27" t="s">
        <v>37</v>
      </c>
      <c r="Y4" s="27" t="s">
        <v>41</v>
      </c>
      <c r="Z4">
        <v>0.405</v>
      </c>
      <c r="AA4" s="36">
        <v>0.735</v>
      </c>
      <c r="AB4">
        <v>0</v>
      </c>
      <c r="AC4">
        <v>0.000617</v>
      </c>
      <c r="AD4">
        <v>23</v>
      </c>
      <c r="AE4" t="s">
        <v>42</v>
      </c>
      <c r="AF4" t="s">
        <v>42</v>
      </c>
      <c r="AG4" t="s">
        <v>42</v>
      </c>
      <c r="AH4" t="s">
        <v>42</v>
      </c>
      <c r="AI4" s="27" t="s">
        <v>43</v>
      </c>
      <c r="AJ4" s="113" t="s">
        <v>52</v>
      </c>
      <c r="AK4" s="38" t="s">
        <v>45</v>
      </c>
    </row>
    <row r="5" spans="1:37">
      <c r="A5" s="41" t="s">
        <v>53</v>
      </c>
      <c r="B5" s="42" t="s">
        <v>31</v>
      </c>
      <c r="C5" s="43" t="s">
        <v>54</v>
      </c>
      <c r="D5" s="27" t="s">
        <v>55</v>
      </c>
      <c r="F5" s="118" t="s">
        <v>56</v>
      </c>
      <c r="G5" s="40" t="s">
        <v>57</v>
      </c>
      <c r="H5" s="27" t="s">
        <v>58</v>
      </c>
      <c r="I5" s="27">
        <v>5607</v>
      </c>
      <c r="J5" s="40"/>
      <c r="K5" s="40"/>
      <c r="L5" s="40"/>
      <c r="M5" s="40">
        <v>0.00403</v>
      </c>
      <c r="N5" s="27" t="s">
        <v>59</v>
      </c>
      <c r="P5" s="118" t="s">
        <v>56</v>
      </c>
      <c r="Q5" s="27" t="s">
        <v>60</v>
      </c>
      <c r="R5" s="27">
        <v>5607</v>
      </c>
      <c r="S5" s="27">
        <v>93869</v>
      </c>
      <c r="U5" s="27" t="s">
        <v>61</v>
      </c>
      <c r="V5" s="40" t="s">
        <v>57</v>
      </c>
      <c r="W5" s="40"/>
      <c r="X5" s="27" t="s">
        <v>58</v>
      </c>
      <c r="Y5" s="27" t="s">
        <v>41</v>
      </c>
      <c r="Z5" s="40">
        <v>0.646</v>
      </c>
      <c r="AA5" s="40">
        <v>0.832</v>
      </c>
      <c r="AB5" s="40">
        <v>42.2</v>
      </c>
      <c r="AC5" s="40">
        <v>0.00403</v>
      </c>
      <c r="AD5">
        <v>75</v>
      </c>
      <c r="AE5" t="s">
        <v>42</v>
      </c>
      <c r="AF5" t="s">
        <v>42</v>
      </c>
      <c r="AG5" t="s">
        <v>42</v>
      </c>
      <c r="AH5" t="s">
        <v>42</v>
      </c>
      <c r="AI5" s="27" t="s">
        <v>62</v>
      </c>
      <c r="AJ5" s="113" t="s">
        <v>63</v>
      </c>
      <c r="AK5" s="38" t="s">
        <v>62</v>
      </c>
    </row>
    <row r="6" spans="1:37">
      <c r="A6" s="33" t="s">
        <v>64</v>
      </c>
      <c r="B6" s="27" t="s">
        <v>65</v>
      </c>
      <c r="C6" s="27" t="s">
        <v>66</v>
      </c>
      <c r="D6" s="27" t="s">
        <v>33</v>
      </c>
      <c r="E6" s="27" t="s">
        <v>67</v>
      </c>
      <c r="F6" s="27" t="s">
        <v>68</v>
      </c>
      <c r="G6" s="117" t="s">
        <v>69</v>
      </c>
      <c r="H6" s="27" t="s">
        <v>58</v>
      </c>
      <c r="I6" s="27" t="s">
        <v>70</v>
      </c>
      <c r="J6"/>
      <c r="K6"/>
      <c r="L6"/>
      <c r="M6" s="123" t="s">
        <v>71</v>
      </c>
      <c r="N6" s="27" t="s">
        <v>38</v>
      </c>
      <c r="O6" s="27" t="s">
        <v>67</v>
      </c>
      <c r="P6" s="27" t="s">
        <v>68</v>
      </c>
      <c r="Q6" s="27" t="s">
        <v>72</v>
      </c>
      <c r="R6" s="27" t="s">
        <v>70</v>
      </c>
      <c r="S6" s="27">
        <v>2741684</v>
      </c>
      <c r="U6" s="27" t="s">
        <v>73</v>
      </c>
      <c r="V6" s="117" t="s">
        <v>69</v>
      </c>
      <c r="W6"/>
      <c r="X6" s="27" t="s">
        <v>58</v>
      </c>
      <c r="Y6" s="27" t="s">
        <v>41</v>
      </c>
      <c r="Z6">
        <v>0.0722</v>
      </c>
      <c r="AA6" s="36">
        <v>0.376</v>
      </c>
      <c r="AB6">
        <v>81.8</v>
      </c>
      <c r="AC6" s="123" t="s">
        <v>71</v>
      </c>
      <c r="AD6">
        <v>2016</v>
      </c>
      <c r="AE6" t="s">
        <v>42</v>
      </c>
      <c r="AF6" t="s">
        <v>42</v>
      </c>
      <c r="AG6" t="s">
        <v>42</v>
      </c>
      <c r="AH6" t="s">
        <v>42</v>
      </c>
      <c r="AI6" s="27" t="s">
        <v>62</v>
      </c>
      <c r="AJ6" s="113" t="s">
        <v>52</v>
      </c>
      <c r="AK6" s="49" t="s">
        <v>45</v>
      </c>
    </row>
    <row r="7" spans="1:37">
      <c r="A7" s="33" t="s">
        <v>74</v>
      </c>
      <c r="B7" s="27" t="s">
        <v>75</v>
      </c>
      <c r="C7" s="27" t="s">
        <v>76</v>
      </c>
      <c r="D7" s="27" t="s">
        <v>55</v>
      </c>
      <c r="E7" s="27" t="s">
        <v>67</v>
      </c>
      <c r="F7" s="122" t="s">
        <v>77</v>
      </c>
      <c r="G7" t="s">
        <v>78</v>
      </c>
      <c r="H7" s="27" t="s">
        <v>79</v>
      </c>
      <c r="I7" s="27" t="s">
        <v>80</v>
      </c>
      <c r="J7"/>
      <c r="K7"/>
      <c r="L7"/>
      <c r="M7">
        <v>0.549</v>
      </c>
      <c r="N7" s="27" t="s">
        <v>59</v>
      </c>
      <c r="O7" s="27" t="s">
        <v>67</v>
      </c>
      <c r="P7" s="122" t="s">
        <v>77</v>
      </c>
      <c r="Q7" s="27" t="s">
        <v>81</v>
      </c>
      <c r="R7" s="27" t="s">
        <v>80</v>
      </c>
      <c r="S7" s="27">
        <v>5781631</v>
      </c>
      <c r="U7" s="27" t="s">
        <v>82</v>
      </c>
      <c r="V7" t="s">
        <v>78</v>
      </c>
      <c r="W7"/>
      <c r="X7" s="27" t="s">
        <v>79</v>
      </c>
      <c r="Y7" s="27" t="s">
        <v>41</v>
      </c>
      <c r="Z7">
        <v>0.63</v>
      </c>
      <c r="AA7" s="36">
        <v>0.573</v>
      </c>
      <c r="AB7">
        <v>62.1</v>
      </c>
      <c r="AC7">
        <v>0.549</v>
      </c>
      <c r="AD7" t="s">
        <v>42</v>
      </c>
      <c r="AE7">
        <v>50</v>
      </c>
      <c r="AF7">
        <v>9</v>
      </c>
      <c r="AG7">
        <v>106</v>
      </c>
      <c r="AH7">
        <v>16</v>
      </c>
      <c r="AI7" s="27" t="s">
        <v>83</v>
      </c>
      <c r="AJ7" s="113" t="s">
        <v>44</v>
      </c>
      <c r="AK7" s="38" t="s">
        <v>45</v>
      </c>
    </row>
    <row r="8" spans="1:37">
      <c r="A8" s="33" t="s">
        <v>84</v>
      </c>
      <c r="B8" s="27" t="s">
        <v>75</v>
      </c>
      <c r="C8" s="27" t="s">
        <v>76</v>
      </c>
      <c r="D8" s="27" t="s">
        <v>55</v>
      </c>
      <c r="E8" s="27" t="s">
        <v>85</v>
      </c>
      <c r="F8" s="122" t="s">
        <v>86</v>
      </c>
      <c r="G8" t="s">
        <v>87</v>
      </c>
      <c r="H8" s="27" t="s">
        <v>79</v>
      </c>
      <c r="I8" s="27" t="s">
        <v>88</v>
      </c>
      <c r="J8"/>
      <c r="K8"/>
      <c r="L8"/>
      <c r="M8">
        <v>0.461</v>
      </c>
      <c r="N8" s="27" t="s">
        <v>59</v>
      </c>
      <c r="O8" s="27" t="s">
        <v>85</v>
      </c>
      <c r="P8" s="122" t="s">
        <v>86</v>
      </c>
      <c r="Q8" s="27" t="s">
        <v>89</v>
      </c>
      <c r="R8" s="27" t="s">
        <v>88</v>
      </c>
      <c r="S8" s="27">
        <v>5781868</v>
      </c>
      <c r="U8" s="27" t="s">
        <v>90</v>
      </c>
      <c r="V8" t="s">
        <v>87</v>
      </c>
      <c r="W8"/>
      <c r="X8" s="27" t="s">
        <v>79</v>
      </c>
      <c r="Y8" s="27" t="s">
        <v>41</v>
      </c>
      <c r="Z8">
        <v>0.4</v>
      </c>
      <c r="AA8" s="36">
        <v>1</v>
      </c>
      <c r="AB8">
        <v>0</v>
      </c>
      <c r="AC8">
        <v>0.461</v>
      </c>
      <c r="AD8" t="s">
        <v>42</v>
      </c>
      <c r="AE8">
        <v>58</v>
      </c>
      <c r="AF8">
        <v>28</v>
      </c>
      <c r="AG8">
        <v>124</v>
      </c>
      <c r="AH8">
        <v>58</v>
      </c>
      <c r="AI8" s="27" t="s">
        <v>83</v>
      </c>
      <c r="AJ8" s="113" t="s">
        <v>44</v>
      </c>
      <c r="AK8" s="38" t="s">
        <v>45</v>
      </c>
    </row>
    <row r="9" spans="1:37">
      <c r="A9" s="33" t="s">
        <v>91</v>
      </c>
      <c r="B9" s="27" t="s">
        <v>75</v>
      </c>
      <c r="C9" s="27" t="s">
        <v>76</v>
      </c>
      <c r="D9" s="27" t="s">
        <v>55</v>
      </c>
      <c r="E9" s="27" t="s">
        <v>92</v>
      </c>
      <c r="F9" s="122" t="s">
        <v>86</v>
      </c>
      <c r="G9" t="s">
        <v>93</v>
      </c>
      <c r="H9" s="27" t="s">
        <v>79</v>
      </c>
      <c r="I9" s="27" t="s">
        <v>88</v>
      </c>
      <c r="J9"/>
      <c r="K9"/>
      <c r="L9"/>
      <c r="M9">
        <v>0.156</v>
      </c>
      <c r="N9" s="27" t="s">
        <v>59</v>
      </c>
      <c r="O9" s="27" t="s">
        <v>92</v>
      </c>
      <c r="P9" s="122" t="s">
        <v>86</v>
      </c>
      <c r="Q9" s="27" t="s">
        <v>89</v>
      </c>
      <c r="R9" s="27" t="s">
        <v>88</v>
      </c>
      <c r="S9" s="27">
        <v>5781868</v>
      </c>
      <c r="U9" s="27" t="s">
        <v>94</v>
      </c>
      <c r="V9" t="s">
        <v>93</v>
      </c>
      <c r="W9"/>
      <c r="X9" s="27" t="s">
        <v>79</v>
      </c>
      <c r="Y9" s="27" t="s">
        <v>41</v>
      </c>
      <c r="Z9">
        <v>0.206</v>
      </c>
      <c r="AA9" s="36">
        <v>0.816</v>
      </c>
      <c r="AB9">
        <v>24.4</v>
      </c>
      <c r="AC9">
        <v>0.156</v>
      </c>
      <c r="AD9" t="s">
        <v>42</v>
      </c>
      <c r="AE9">
        <v>18</v>
      </c>
      <c r="AF9">
        <v>5</v>
      </c>
      <c r="AG9">
        <v>41</v>
      </c>
      <c r="AH9">
        <v>9</v>
      </c>
      <c r="AI9" s="27" t="s">
        <v>83</v>
      </c>
      <c r="AJ9" s="113" t="s">
        <v>44</v>
      </c>
      <c r="AK9" s="38" t="s">
        <v>45</v>
      </c>
    </row>
    <row r="10" spans="1:37">
      <c r="A10" s="33" t="s">
        <v>95</v>
      </c>
      <c r="B10" s="27" t="s">
        <v>75</v>
      </c>
      <c r="C10" s="27" t="s">
        <v>76</v>
      </c>
      <c r="D10" s="27" t="s">
        <v>55</v>
      </c>
      <c r="E10" s="27" t="s">
        <v>96</v>
      </c>
      <c r="F10" s="124" t="s">
        <v>97</v>
      </c>
      <c r="G10" t="s">
        <v>98</v>
      </c>
      <c r="H10" s="27" t="s">
        <v>79</v>
      </c>
      <c r="I10" s="27" t="s">
        <v>88</v>
      </c>
      <c r="J10"/>
      <c r="K10"/>
      <c r="L10"/>
      <c r="M10" s="123" t="s">
        <v>99</v>
      </c>
      <c r="N10" s="27" t="s">
        <v>59</v>
      </c>
      <c r="O10" s="27" t="s">
        <v>96</v>
      </c>
      <c r="P10" s="124" t="s">
        <v>97</v>
      </c>
      <c r="Q10" s="27" t="s">
        <v>100</v>
      </c>
      <c r="R10" s="27" t="s">
        <v>88</v>
      </c>
      <c r="S10" s="27">
        <v>5777672</v>
      </c>
      <c r="U10" s="27" t="s">
        <v>101</v>
      </c>
      <c r="V10" t="s">
        <v>98</v>
      </c>
      <c r="W10"/>
      <c r="X10" s="27" t="s">
        <v>79</v>
      </c>
      <c r="Y10" s="27" t="s">
        <v>41</v>
      </c>
      <c r="Z10">
        <v>0.554</v>
      </c>
      <c r="AA10" s="36">
        <v>1</v>
      </c>
      <c r="AB10">
        <v>0</v>
      </c>
      <c r="AC10" s="123" t="s">
        <v>99</v>
      </c>
      <c r="AD10">
        <v>25</v>
      </c>
      <c r="AE10" t="s">
        <v>42</v>
      </c>
      <c r="AF10" t="s">
        <v>42</v>
      </c>
      <c r="AG10" t="s">
        <v>42</v>
      </c>
      <c r="AH10" t="s">
        <v>42</v>
      </c>
      <c r="AI10" s="27" t="s">
        <v>83</v>
      </c>
      <c r="AJ10" s="113" t="s">
        <v>52</v>
      </c>
      <c r="AK10" s="38" t="s">
        <v>45</v>
      </c>
    </row>
    <row r="11" spans="1:37">
      <c r="A11" s="33" t="s">
        <v>102</v>
      </c>
      <c r="B11" s="27" t="s">
        <v>103</v>
      </c>
      <c r="C11" s="27" t="s">
        <v>104</v>
      </c>
      <c r="D11" s="27" t="s">
        <v>33</v>
      </c>
      <c r="E11" s="27" t="s">
        <v>67</v>
      </c>
      <c r="F11" s="122" t="s">
        <v>105</v>
      </c>
      <c r="G11" t="s">
        <v>106</v>
      </c>
      <c r="H11" s="27" t="s">
        <v>79</v>
      </c>
      <c r="I11" s="27" t="s">
        <v>107</v>
      </c>
      <c r="J11"/>
      <c r="K11"/>
      <c r="L11"/>
      <c r="M11" s="123" t="s">
        <v>108</v>
      </c>
      <c r="N11" s="27" t="s">
        <v>38</v>
      </c>
      <c r="O11" s="27" t="s">
        <v>67</v>
      </c>
      <c r="P11" s="122" t="s">
        <v>105</v>
      </c>
      <c r="Q11" s="27" t="s">
        <v>109</v>
      </c>
      <c r="R11" s="27" t="s">
        <v>107</v>
      </c>
      <c r="S11" s="27">
        <v>2342689</v>
      </c>
      <c r="U11" s="27" t="s">
        <v>106</v>
      </c>
      <c r="V11" t="s">
        <v>106</v>
      </c>
      <c r="W11"/>
      <c r="X11" s="27" t="s">
        <v>79</v>
      </c>
      <c r="Y11" s="27" t="s">
        <v>41</v>
      </c>
      <c r="Z11">
        <v>0.186</v>
      </c>
      <c r="AA11" s="36">
        <v>0.112</v>
      </c>
      <c r="AB11">
        <v>55.9</v>
      </c>
      <c r="AC11" s="123" t="s">
        <v>108</v>
      </c>
      <c r="AD11">
        <v>2757</v>
      </c>
      <c r="AE11" t="s">
        <v>42</v>
      </c>
      <c r="AF11" t="s">
        <v>42</v>
      </c>
      <c r="AG11" t="s">
        <v>42</v>
      </c>
      <c r="AH11" t="s">
        <v>42</v>
      </c>
      <c r="AI11" s="27" t="s">
        <v>110</v>
      </c>
      <c r="AJ11" s="113" t="s">
        <v>111</v>
      </c>
      <c r="AK11" s="49" t="s">
        <v>62</v>
      </c>
    </row>
    <row r="12" spans="1:37">
      <c r="A12" s="39" t="s">
        <v>112</v>
      </c>
      <c r="B12" s="27" t="s">
        <v>113</v>
      </c>
      <c r="C12" s="27" t="s">
        <v>114</v>
      </c>
      <c r="D12" s="27" t="s">
        <v>33</v>
      </c>
      <c r="E12" s="27" t="s">
        <v>115</v>
      </c>
      <c r="F12" s="122" t="s">
        <v>116</v>
      </c>
      <c r="G12" s="40" t="s">
        <v>117</v>
      </c>
      <c r="H12" s="27" t="s">
        <v>37</v>
      </c>
      <c r="I12" s="27" t="s">
        <v>107</v>
      </c>
      <c r="J12" s="40"/>
      <c r="K12" s="40"/>
      <c r="L12" s="40"/>
      <c r="M12" s="40">
        <v>0.16</v>
      </c>
      <c r="N12" s="27" t="s">
        <v>38</v>
      </c>
      <c r="O12" s="27" t="s">
        <v>115</v>
      </c>
      <c r="P12" s="122" t="s">
        <v>116</v>
      </c>
      <c r="Q12" s="27" t="s">
        <v>118</v>
      </c>
      <c r="R12" s="27" t="s">
        <v>107</v>
      </c>
      <c r="S12" s="27">
        <v>9811639</v>
      </c>
      <c r="U12" s="27" t="s">
        <v>119</v>
      </c>
      <c r="V12" s="40" t="s">
        <v>117</v>
      </c>
      <c r="W12" s="40"/>
      <c r="X12" s="27" t="s">
        <v>37</v>
      </c>
      <c r="Y12" s="27" t="s">
        <v>41</v>
      </c>
      <c r="Z12" s="40">
        <v>0.486</v>
      </c>
      <c r="AA12" s="40">
        <v>1</v>
      </c>
      <c r="AB12" s="40">
        <v>6.2</v>
      </c>
      <c r="AC12" s="40">
        <v>0.16</v>
      </c>
      <c r="AD12" s="27"/>
      <c r="AE12" s="40">
        <v>6</v>
      </c>
      <c r="AF12" s="40">
        <v>46</v>
      </c>
      <c r="AG12" s="40">
        <v>16</v>
      </c>
      <c r="AH12" s="40">
        <v>74</v>
      </c>
      <c r="AI12" s="27" t="s">
        <v>62</v>
      </c>
      <c r="AJ12" s="113" t="s">
        <v>44</v>
      </c>
      <c r="AK12" s="38" t="s">
        <v>45</v>
      </c>
    </row>
    <row r="13" spans="1:37">
      <c r="A13" s="39" t="s">
        <v>120</v>
      </c>
      <c r="B13" s="27" t="s">
        <v>113</v>
      </c>
      <c r="C13" s="27" t="s">
        <v>114</v>
      </c>
      <c r="D13" s="27" t="s">
        <v>33</v>
      </c>
      <c r="E13" s="27" t="s">
        <v>121</v>
      </c>
      <c r="F13" s="122" t="s">
        <v>77</v>
      </c>
      <c r="G13" s="40" t="s">
        <v>122</v>
      </c>
      <c r="H13" s="27" t="s">
        <v>37</v>
      </c>
      <c r="I13" s="27" t="s">
        <v>107</v>
      </c>
      <c r="J13" s="40"/>
      <c r="K13" s="40"/>
      <c r="L13" s="40"/>
      <c r="M13" s="40">
        <v>0.00351</v>
      </c>
      <c r="N13" s="27" t="s">
        <v>38</v>
      </c>
      <c r="O13" s="27" t="s">
        <v>121</v>
      </c>
      <c r="P13" s="122" t="s">
        <v>77</v>
      </c>
      <c r="Q13" s="27" t="s">
        <v>123</v>
      </c>
      <c r="R13" s="27" t="s">
        <v>107</v>
      </c>
      <c r="S13" s="27">
        <v>9930110</v>
      </c>
      <c r="U13" s="27" t="s">
        <v>124</v>
      </c>
      <c r="V13" s="40" t="s">
        <v>122</v>
      </c>
      <c r="W13" s="40"/>
      <c r="X13" s="27" t="s">
        <v>37</v>
      </c>
      <c r="Y13" s="27" t="s">
        <v>41</v>
      </c>
      <c r="Z13" s="40">
        <v>0.158</v>
      </c>
      <c r="AA13" s="40">
        <v>0.26</v>
      </c>
      <c r="AB13" s="40">
        <v>84.8</v>
      </c>
      <c r="AC13" s="40">
        <v>0.00351</v>
      </c>
      <c r="AD13" s="40">
        <v>264</v>
      </c>
      <c r="AE13" s="27"/>
      <c r="AF13" s="27"/>
      <c r="AG13" s="27"/>
      <c r="AH13" s="27"/>
      <c r="AI13" s="27" t="s">
        <v>62</v>
      </c>
      <c r="AJ13" s="113" t="s">
        <v>63</v>
      </c>
      <c r="AK13" s="38" t="s">
        <v>45</v>
      </c>
    </row>
    <row r="14" spans="1:37">
      <c r="A14" s="33" t="s">
        <v>125</v>
      </c>
      <c r="B14" s="27" t="s">
        <v>126</v>
      </c>
      <c r="C14" s="43" t="s">
        <v>127</v>
      </c>
      <c r="D14" s="27" t="s">
        <v>33</v>
      </c>
      <c r="E14" s="27" t="s">
        <v>67</v>
      </c>
      <c r="F14" s="27" t="s">
        <v>128</v>
      </c>
      <c r="G14" t="s">
        <v>129</v>
      </c>
      <c r="H14" s="27" t="s">
        <v>37</v>
      </c>
      <c r="I14" s="27" t="s">
        <v>130</v>
      </c>
      <c r="J14"/>
      <c r="K14"/>
      <c r="L14"/>
      <c r="M14" s="123" t="s">
        <v>131</v>
      </c>
      <c r="N14" s="27" t="s">
        <v>38</v>
      </c>
      <c r="O14" s="27" t="s">
        <v>67</v>
      </c>
      <c r="P14" s="27" t="s">
        <v>128</v>
      </c>
      <c r="Q14" s="27" t="s">
        <v>132</v>
      </c>
      <c r="R14" s="27" t="s">
        <v>130</v>
      </c>
      <c r="S14" s="27">
        <v>517419</v>
      </c>
      <c r="U14" s="27" t="s">
        <v>133</v>
      </c>
      <c r="V14" t="s">
        <v>129</v>
      </c>
      <c r="W14"/>
      <c r="X14" s="27" t="s">
        <v>37</v>
      </c>
      <c r="Y14" s="27" t="s">
        <v>41</v>
      </c>
      <c r="Z14">
        <v>0.215</v>
      </c>
      <c r="AA14" s="36">
        <v>0.187</v>
      </c>
      <c r="AB14">
        <v>89.6</v>
      </c>
      <c r="AC14" s="123" t="s">
        <v>131</v>
      </c>
      <c r="AD14">
        <v>42821</v>
      </c>
      <c r="AE14" t="s">
        <v>42</v>
      </c>
      <c r="AF14" t="s">
        <v>42</v>
      </c>
      <c r="AG14" t="s">
        <v>42</v>
      </c>
      <c r="AH14" t="s">
        <v>42</v>
      </c>
      <c r="AI14" s="27" t="s">
        <v>62</v>
      </c>
      <c r="AJ14" s="113" t="s">
        <v>111</v>
      </c>
      <c r="AK14" s="49" t="s">
        <v>62</v>
      </c>
    </row>
    <row r="15" spans="1:37">
      <c r="A15" s="33" t="s">
        <v>134</v>
      </c>
      <c r="B15" s="27" t="s">
        <v>126</v>
      </c>
      <c r="C15" s="43" t="s">
        <v>127</v>
      </c>
      <c r="D15" s="27" t="s">
        <v>33</v>
      </c>
      <c r="E15" s="27" t="s">
        <v>85</v>
      </c>
      <c r="F15" s="124" t="s">
        <v>135</v>
      </c>
      <c r="G15" t="s">
        <v>136</v>
      </c>
      <c r="H15" s="27" t="s">
        <v>37</v>
      </c>
      <c r="I15" s="27" t="s">
        <v>107</v>
      </c>
      <c r="J15"/>
      <c r="K15"/>
      <c r="L15"/>
      <c r="M15">
        <v>0.0251</v>
      </c>
      <c r="N15" s="27" t="s">
        <v>38</v>
      </c>
      <c r="O15" s="27" t="s">
        <v>85</v>
      </c>
      <c r="P15" s="124" t="s">
        <v>135</v>
      </c>
      <c r="Q15" s="27" t="s">
        <v>137</v>
      </c>
      <c r="R15" s="27" t="s">
        <v>107</v>
      </c>
      <c r="S15" s="27">
        <v>228327</v>
      </c>
      <c r="U15" s="27" t="s">
        <v>138</v>
      </c>
      <c r="V15" t="s">
        <v>136</v>
      </c>
      <c r="W15"/>
      <c r="X15" s="27" t="s">
        <v>37</v>
      </c>
      <c r="Y15" s="27" t="s">
        <v>41</v>
      </c>
      <c r="Z15">
        <v>0.21</v>
      </c>
      <c r="AA15" s="36">
        <v>0.922</v>
      </c>
      <c r="AB15">
        <v>86.5</v>
      </c>
      <c r="AC15">
        <v>0.0251</v>
      </c>
      <c r="AD15">
        <v>185</v>
      </c>
      <c r="AE15" t="s">
        <v>42</v>
      </c>
      <c r="AF15" t="s">
        <v>42</v>
      </c>
      <c r="AG15" t="s">
        <v>42</v>
      </c>
      <c r="AH15" t="s">
        <v>42</v>
      </c>
      <c r="AI15" s="27" t="s">
        <v>62</v>
      </c>
      <c r="AJ15" s="113" t="s">
        <v>63</v>
      </c>
      <c r="AK15" s="49" t="s">
        <v>62</v>
      </c>
    </row>
    <row r="16" spans="1:37">
      <c r="A16" s="33" t="s">
        <v>139</v>
      </c>
      <c r="B16" s="27" t="s">
        <v>126</v>
      </c>
      <c r="C16" s="43" t="s">
        <v>127</v>
      </c>
      <c r="D16" s="27" t="s">
        <v>33</v>
      </c>
      <c r="E16" s="27" t="s">
        <v>92</v>
      </c>
      <c r="F16" s="124" t="s">
        <v>140</v>
      </c>
      <c r="G16" t="s">
        <v>141</v>
      </c>
      <c r="H16" s="27" t="s">
        <v>37</v>
      </c>
      <c r="I16" s="27" t="s">
        <v>107</v>
      </c>
      <c r="J16" s="119">
        <v>1.809</v>
      </c>
      <c r="K16" s="119">
        <v>2.324</v>
      </c>
      <c r="L16" s="119" t="b">
        <v>0</v>
      </c>
      <c r="M16" s="123" t="s">
        <v>142</v>
      </c>
      <c r="N16" s="27" t="s">
        <v>38</v>
      </c>
      <c r="O16" s="27" t="s">
        <v>92</v>
      </c>
      <c r="P16" s="124" t="s">
        <v>140</v>
      </c>
      <c r="Q16" s="27" t="s">
        <v>143</v>
      </c>
      <c r="R16" s="27" t="s">
        <v>107</v>
      </c>
      <c r="S16" s="27">
        <v>235149</v>
      </c>
      <c r="U16" s="27" t="s">
        <v>144</v>
      </c>
      <c r="V16" t="s">
        <v>141</v>
      </c>
      <c r="W16"/>
      <c r="X16" s="27" t="s">
        <v>37</v>
      </c>
      <c r="Y16" s="27" t="s">
        <v>41</v>
      </c>
      <c r="Z16">
        <v>0.74</v>
      </c>
      <c r="AA16" s="36">
        <v>0.374</v>
      </c>
      <c r="AB16">
        <v>11.2</v>
      </c>
      <c r="AC16" s="123" t="s">
        <v>142</v>
      </c>
      <c r="AD16">
        <v>992</v>
      </c>
      <c r="AE16" t="s">
        <v>42</v>
      </c>
      <c r="AF16" t="s">
        <v>42</v>
      </c>
      <c r="AG16" t="s">
        <v>42</v>
      </c>
      <c r="AH16" t="s">
        <v>42</v>
      </c>
      <c r="AI16" s="27" t="s">
        <v>62</v>
      </c>
      <c r="AJ16" s="113" t="s">
        <v>145</v>
      </c>
      <c r="AK16" s="49" t="s">
        <v>146</v>
      </c>
    </row>
    <row r="17" spans="1:37">
      <c r="A17" s="39" t="s">
        <v>147</v>
      </c>
      <c r="B17" s="27" t="s">
        <v>126</v>
      </c>
      <c r="C17" s="43" t="s">
        <v>127</v>
      </c>
      <c r="D17" s="27" t="s">
        <v>33</v>
      </c>
      <c r="E17" s="27" t="s">
        <v>148</v>
      </c>
      <c r="F17" s="27" t="s">
        <v>149</v>
      </c>
      <c r="G17" s="40" t="s">
        <v>150</v>
      </c>
      <c r="H17" s="27" t="s">
        <v>37</v>
      </c>
      <c r="I17" s="27" t="s">
        <v>107</v>
      </c>
      <c r="J17" s="40"/>
      <c r="K17" s="40"/>
      <c r="L17" s="40"/>
      <c r="M17" s="40">
        <v>0.00942</v>
      </c>
      <c r="N17" s="27" t="s">
        <v>38</v>
      </c>
      <c r="O17" s="27" t="s">
        <v>148</v>
      </c>
      <c r="P17" s="27" t="s">
        <v>149</v>
      </c>
      <c r="Q17" s="27" t="s">
        <v>143</v>
      </c>
      <c r="R17" s="27" t="s">
        <v>107</v>
      </c>
      <c r="S17" s="27">
        <v>235149</v>
      </c>
      <c r="U17" s="27" t="s">
        <v>151</v>
      </c>
      <c r="V17" s="40" t="s">
        <v>150</v>
      </c>
      <c r="W17" s="40"/>
      <c r="X17" s="27" t="s">
        <v>37</v>
      </c>
      <c r="Y17" s="27" t="s">
        <v>41</v>
      </c>
      <c r="Z17" s="40">
        <v>0.509</v>
      </c>
      <c r="AA17" s="40">
        <v>0.951</v>
      </c>
      <c r="AB17" s="40">
        <v>78.6</v>
      </c>
      <c r="AC17" s="40">
        <v>0.00942</v>
      </c>
      <c r="AD17" s="40">
        <v>207</v>
      </c>
      <c r="AE17" s="27"/>
      <c r="AF17" s="27"/>
      <c r="AG17" s="27"/>
      <c r="AH17" s="27"/>
      <c r="AI17" s="27" t="s">
        <v>62</v>
      </c>
      <c r="AJ17" s="113" t="s">
        <v>63</v>
      </c>
      <c r="AK17" s="49" t="s">
        <v>146</v>
      </c>
    </row>
    <row r="18" spans="1:37">
      <c r="A18" s="41" t="s">
        <v>152</v>
      </c>
      <c r="B18" s="42" t="s">
        <v>153</v>
      </c>
      <c r="C18" s="43" t="s">
        <v>154</v>
      </c>
      <c r="D18" s="27" t="s">
        <v>55</v>
      </c>
      <c r="F18" s="118" t="s">
        <v>155</v>
      </c>
      <c r="G18" t="s">
        <v>156</v>
      </c>
      <c r="H18" s="27" t="s">
        <v>79</v>
      </c>
      <c r="I18" s="27">
        <v>1127</v>
      </c>
      <c r="J18"/>
      <c r="K18"/>
      <c r="L18"/>
      <c r="M18">
        <v>0.131</v>
      </c>
      <c r="N18" s="27" t="s">
        <v>59</v>
      </c>
      <c r="P18" s="118" t="s">
        <v>155</v>
      </c>
      <c r="Q18" s="27" t="s">
        <v>157</v>
      </c>
      <c r="R18" s="27">
        <v>1127</v>
      </c>
      <c r="S18" s="27">
        <v>26700</v>
      </c>
      <c r="U18" s="27" t="s">
        <v>158</v>
      </c>
      <c r="V18" t="s">
        <v>156</v>
      </c>
      <c r="W18"/>
      <c r="X18" s="27" t="s">
        <v>79</v>
      </c>
      <c r="Y18" s="27" t="s">
        <v>41</v>
      </c>
      <c r="Z18">
        <v>0.222</v>
      </c>
      <c r="AA18">
        <v>0.784</v>
      </c>
      <c r="AB18">
        <v>7</v>
      </c>
      <c r="AC18">
        <v>0.131</v>
      </c>
      <c r="AD18" t="s">
        <v>42</v>
      </c>
      <c r="AE18">
        <v>0</v>
      </c>
      <c r="AF18" t="s">
        <v>159</v>
      </c>
      <c r="AG18">
        <v>2</v>
      </c>
      <c r="AH18">
        <v>24</v>
      </c>
      <c r="AI18" s="27" t="s">
        <v>62</v>
      </c>
      <c r="AJ18" s="113" t="s">
        <v>44</v>
      </c>
      <c r="AK18" s="38" t="s">
        <v>45</v>
      </c>
    </row>
    <row r="19" spans="1:37">
      <c r="A19" s="39" t="s">
        <v>160</v>
      </c>
      <c r="B19" s="27" t="s">
        <v>161</v>
      </c>
      <c r="C19" s="27" t="s">
        <v>154</v>
      </c>
      <c r="D19" s="27" t="s">
        <v>55</v>
      </c>
      <c r="F19" s="27" t="s">
        <v>162</v>
      </c>
      <c r="G19" s="40" t="s">
        <v>163</v>
      </c>
      <c r="H19" s="27" t="s">
        <v>164</v>
      </c>
      <c r="I19" s="27">
        <v>71663</v>
      </c>
      <c r="J19" s="40"/>
      <c r="K19" s="40"/>
      <c r="L19" s="40"/>
      <c r="M19" s="40">
        <v>1.83e-6</v>
      </c>
      <c r="N19" s="27" t="s">
        <v>59</v>
      </c>
      <c r="P19" s="27" t="s">
        <v>162</v>
      </c>
      <c r="Q19" s="27">
        <v>71663</v>
      </c>
      <c r="R19" s="27">
        <v>71663</v>
      </c>
      <c r="S19" s="44"/>
      <c r="T19" s="44"/>
      <c r="U19" s="125" t="s">
        <v>165</v>
      </c>
      <c r="V19" s="40" t="s">
        <v>163</v>
      </c>
      <c r="W19" s="40"/>
      <c r="X19" s="27" t="s">
        <v>164</v>
      </c>
      <c r="Y19" s="27" t="s">
        <v>41</v>
      </c>
      <c r="Z19" s="40">
        <v>0.769</v>
      </c>
      <c r="AA19" s="40">
        <v>0.301</v>
      </c>
      <c r="AB19" s="40">
        <v>100</v>
      </c>
      <c r="AC19" s="40">
        <v>1.83e-6</v>
      </c>
      <c r="AD19" s="40">
        <v>11333011</v>
      </c>
      <c r="AE19" s="27"/>
      <c r="AF19" s="27"/>
      <c r="AG19" s="27"/>
      <c r="AH19" s="27"/>
      <c r="AI19" s="27" t="s">
        <v>62</v>
      </c>
      <c r="AJ19" s="113" t="s">
        <v>52</v>
      </c>
      <c r="AK19" s="38" t="s">
        <v>45</v>
      </c>
    </row>
    <row r="20" spans="1:37">
      <c r="A20" s="33" t="s">
        <v>166</v>
      </c>
      <c r="B20" s="27" t="s">
        <v>167</v>
      </c>
      <c r="C20" s="43" t="s">
        <v>168</v>
      </c>
      <c r="D20" s="27" t="s">
        <v>33</v>
      </c>
      <c r="E20" s="27" t="s">
        <v>67</v>
      </c>
      <c r="F20" s="124" t="s">
        <v>169</v>
      </c>
      <c r="G20" t="s">
        <v>170</v>
      </c>
      <c r="H20" s="27" t="s">
        <v>37</v>
      </c>
      <c r="I20" s="27" t="s">
        <v>171</v>
      </c>
      <c r="J20"/>
      <c r="K20"/>
      <c r="L20"/>
      <c r="M20" s="123" t="s">
        <v>172</v>
      </c>
      <c r="N20" s="27" t="s">
        <v>38</v>
      </c>
      <c r="O20" s="27" t="s">
        <v>67</v>
      </c>
      <c r="P20" s="124" t="s">
        <v>169</v>
      </c>
      <c r="Q20" s="27" t="s">
        <v>173</v>
      </c>
      <c r="R20" s="27" t="s">
        <v>171</v>
      </c>
      <c r="S20" s="27">
        <v>6406884</v>
      </c>
      <c r="U20" s="27" t="s">
        <v>174</v>
      </c>
      <c r="V20" t="s">
        <v>170</v>
      </c>
      <c r="W20"/>
      <c r="X20" s="27" t="s">
        <v>37</v>
      </c>
      <c r="Y20" s="27" t="s">
        <v>41</v>
      </c>
      <c r="Z20">
        <v>0.156</v>
      </c>
      <c r="AA20" s="36">
        <v>0.0137</v>
      </c>
      <c r="AB20">
        <v>97.7</v>
      </c>
      <c r="AC20" s="123" t="s">
        <v>172</v>
      </c>
      <c r="AD20">
        <v>119726</v>
      </c>
      <c r="AE20" t="s">
        <v>42</v>
      </c>
      <c r="AF20" t="s">
        <v>42</v>
      </c>
      <c r="AG20" t="s">
        <v>42</v>
      </c>
      <c r="AH20" t="s">
        <v>42</v>
      </c>
      <c r="AI20" s="27" t="s">
        <v>110</v>
      </c>
      <c r="AJ20" s="113" t="s">
        <v>111</v>
      </c>
      <c r="AK20" s="49" t="s">
        <v>62</v>
      </c>
    </row>
    <row r="21" spans="1:37">
      <c r="A21" s="33" t="s">
        <v>175</v>
      </c>
      <c r="B21" s="27" t="s">
        <v>167</v>
      </c>
      <c r="C21" s="34" t="s">
        <v>32</v>
      </c>
      <c r="D21" s="27" t="s">
        <v>33</v>
      </c>
      <c r="E21" s="27" t="s">
        <v>34</v>
      </c>
      <c r="F21" s="122" t="s">
        <v>176</v>
      </c>
      <c r="G21" t="s">
        <v>177</v>
      </c>
      <c r="H21" s="27" t="s">
        <v>37</v>
      </c>
      <c r="I21" s="27">
        <v>8753</v>
      </c>
      <c r="J21"/>
      <c r="K21"/>
      <c r="L21"/>
      <c r="M21">
        <v>0.735</v>
      </c>
      <c r="N21" s="27" t="s">
        <v>38</v>
      </c>
      <c r="O21" s="27" t="s">
        <v>34</v>
      </c>
      <c r="P21" s="122" t="s">
        <v>176</v>
      </c>
      <c r="Q21" s="27" t="s">
        <v>178</v>
      </c>
      <c r="R21" s="27">
        <v>8753</v>
      </c>
      <c r="S21" s="27">
        <v>104196</v>
      </c>
      <c r="U21" s="27" t="s">
        <v>179</v>
      </c>
      <c r="V21" t="s">
        <v>177</v>
      </c>
      <c r="W21"/>
      <c r="X21" s="27" t="s">
        <v>37</v>
      </c>
      <c r="Y21" s="27" t="s">
        <v>41</v>
      </c>
      <c r="Z21">
        <v>0.151</v>
      </c>
      <c r="AA21" s="36">
        <v>0.73</v>
      </c>
      <c r="AB21">
        <v>21.9</v>
      </c>
      <c r="AC21">
        <v>0.735</v>
      </c>
      <c r="AD21" t="s">
        <v>42</v>
      </c>
      <c r="AE21">
        <v>446</v>
      </c>
      <c r="AF21">
        <v>18</v>
      </c>
      <c r="AG21">
        <v>922</v>
      </c>
      <c r="AH21">
        <v>26</v>
      </c>
      <c r="AI21" s="27" t="s">
        <v>43</v>
      </c>
      <c r="AJ21" s="113" t="s">
        <v>44</v>
      </c>
      <c r="AK21" s="38" t="s">
        <v>45</v>
      </c>
    </row>
    <row r="22" spans="1:37">
      <c r="A22" s="33" t="s">
        <v>180</v>
      </c>
      <c r="B22" s="27" t="s">
        <v>167</v>
      </c>
      <c r="C22" s="34" t="s">
        <v>32</v>
      </c>
      <c r="D22" s="27" t="s">
        <v>33</v>
      </c>
      <c r="E22" s="27" t="s">
        <v>47</v>
      </c>
      <c r="F22" s="122" t="s">
        <v>181</v>
      </c>
      <c r="G22" t="s">
        <v>182</v>
      </c>
      <c r="H22" s="27" t="s">
        <v>37</v>
      </c>
      <c r="I22" s="27">
        <v>5233</v>
      </c>
      <c r="J22"/>
      <c r="K22"/>
      <c r="L22"/>
      <c r="M22" s="123" t="s">
        <v>183</v>
      </c>
      <c r="N22" s="27" t="s">
        <v>38</v>
      </c>
      <c r="O22" s="27" t="s">
        <v>47</v>
      </c>
      <c r="P22" s="122" t="s">
        <v>181</v>
      </c>
      <c r="Q22" s="27" t="s">
        <v>184</v>
      </c>
      <c r="R22" s="27">
        <v>5233</v>
      </c>
      <c r="S22" s="27">
        <v>30125</v>
      </c>
      <c r="U22" s="27" t="s">
        <v>185</v>
      </c>
      <c r="V22" t="s">
        <v>182</v>
      </c>
      <c r="W22"/>
      <c r="X22" s="27" t="s">
        <v>37</v>
      </c>
      <c r="Y22" s="27" t="s">
        <v>41</v>
      </c>
      <c r="Z22">
        <v>0.114</v>
      </c>
      <c r="AA22" s="36">
        <v>0.812</v>
      </c>
      <c r="AB22">
        <v>79</v>
      </c>
      <c r="AC22" s="123" t="s">
        <v>183</v>
      </c>
      <c r="AD22">
        <v>4289</v>
      </c>
      <c r="AE22" t="s">
        <v>42</v>
      </c>
      <c r="AF22" t="s">
        <v>42</v>
      </c>
      <c r="AG22" t="s">
        <v>42</v>
      </c>
      <c r="AH22" t="s">
        <v>42</v>
      </c>
      <c r="AI22" s="27" t="s">
        <v>43</v>
      </c>
      <c r="AJ22" s="113" t="s">
        <v>111</v>
      </c>
      <c r="AK22" s="38" t="s">
        <v>45</v>
      </c>
    </row>
    <row r="23" spans="1:37">
      <c r="A23" s="39" t="s">
        <v>186</v>
      </c>
      <c r="B23" s="27" t="s">
        <v>167</v>
      </c>
      <c r="C23" s="27" t="s">
        <v>168</v>
      </c>
      <c r="D23" s="27" t="s">
        <v>33</v>
      </c>
      <c r="E23" s="27" t="s">
        <v>187</v>
      </c>
      <c r="F23" s="124" t="s">
        <v>188</v>
      </c>
      <c r="G23" s="40" t="s">
        <v>189</v>
      </c>
      <c r="H23" s="27" t="s">
        <v>37</v>
      </c>
      <c r="I23" s="27" t="s">
        <v>107</v>
      </c>
      <c r="J23" s="40"/>
      <c r="K23" s="40"/>
      <c r="L23" s="40"/>
      <c r="M23" s="40">
        <v>1.67e-14</v>
      </c>
      <c r="N23" s="27" t="s">
        <v>38</v>
      </c>
      <c r="O23" s="27" t="s">
        <v>187</v>
      </c>
      <c r="P23" s="124" t="s">
        <v>188</v>
      </c>
      <c r="Q23" s="27" t="s">
        <v>190</v>
      </c>
      <c r="R23" s="27" t="s">
        <v>107</v>
      </c>
      <c r="S23" s="27">
        <v>1447521</v>
      </c>
      <c r="U23" s="27" t="s">
        <v>191</v>
      </c>
      <c r="V23" s="40" t="s">
        <v>189</v>
      </c>
      <c r="W23" s="40"/>
      <c r="X23" s="27" t="s">
        <v>37</v>
      </c>
      <c r="Y23" s="27" t="s">
        <v>41</v>
      </c>
      <c r="Z23" s="40">
        <v>0.035</v>
      </c>
      <c r="AA23" s="40">
        <v>0.927</v>
      </c>
      <c r="AB23" s="40">
        <v>84.9</v>
      </c>
      <c r="AC23" s="40">
        <v>1.67e-14</v>
      </c>
      <c r="AD23" s="40">
        <v>10535</v>
      </c>
      <c r="AE23" s="27"/>
      <c r="AF23" s="27"/>
      <c r="AG23" s="27"/>
      <c r="AH23" s="27"/>
      <c r="AI23" s="27" t="s">
        <v>110</v>
      </c>
      <c r="AJ23" s="113" t="s">
        <v>111</v>
      </c>
      <c r="AK23" s="38" t="s">
        <v>45</v>
      </c>
    </row>
    <row r="24" spans="1:37">
      <c r="A24" s="39" t="s">
        <v>192</v>
      </c>
      <c r="B24" s="27" t="s">
        <v>167</v>
      </c>
      <c r="C24" s="27" t="s">
        <v>168</v>
      </c>
      <c r="D24" s="27" t="s">
        <v>33</v>
      </c>
      <c r="E24" s="27" t="s">
        <v>193</v>
      </c>
      <c r="F24" s="122" t="s">
        <v>194</v>
      </c>
      <c r="G24" s="40" t="s">
        <v>195</v>
      </c>
      <c r="H24" s="27" t="s">
        <v>37</v>
      </c>
      <c r="I24" s="27" t="s">
        <v>107</v>
      </c>
      <c r="J24" s="40"/>
      <c r="K24" s="40"/>
      <c r="L24" s="40"/>
      <c r="M24" s="40">
        <v>8.52e-15</v>
      </c>
      <c r="N24" s="27" t="s">
        <v>38</v>
      </c>
      <c r="O24" s="27" t="s">
        <v>193</v>
      </c>
      <c r="P24" s="122" t="s">
        <v>194</v>
      </c>
      <c r="Q24" s="27" t="s">
        <v>196</v>
      </c>
      <c r="R24" s="27" t="s">
        <v>107</v>
      </c>
      <c r="S24" s="27">
        <v>1447641</v>
      </c>
      <c r="U24" s="27" t="s">
        <v>197</v>
      </c>
      <c r="V24" s="40" t="s">
        <v>195</v>
      </c>
      <c r="W24" s="40"/>
      <c r="X24" s="27" t="s">
        <v>37</v>
      </c>
      <c r="Y24" s="27" t="s">
        <v>41</v>
      </c>
      <c r="Z24" s="40">
        <v>0.172</v>
      </c>
      <c r="AA24" s="40">
        <v>0.113</v>
      </c>
      <c r="AB24" s="40">
        <v>95.7</v>
      </c>
      <c r="AC24" s="40">
        <v>8.52e-15</v>
      </c>
      <c r="AD24" s="40">
        <v>22856</v>
      </c>
      <c r="AE24" s="27"/>
      <c r="AF24" s="27"/>
      <c r="AG24" s="27"/>
      <c r="AH24" s="27"/>
      <c r="AI24" s="27" t="s">
        <v>110</v>
      </c>
      <c r="AJ24" s="113" t="s">
        <v>111</v>
      </c>
      <c r="AK24" s="49" t="s">
        <v>62</v>
      </c>
    </row>
    <row r="25" spans="1:37">
      <c r="A25" s="39" t="s">
        <v>198</v>
      </c>
      <c r="B25" s="27" t="s">
        <v>167</v>
      </c>
      <c r="C25" s="27" t="s">
        <v>199</v>
      </c>
      <c r="D25" s="27" t="s">
        <v>55</v>
      </c>
      <c r="F25" s="27" t="s">
        <v>200</v>
      </c>
      <c r="G25" s="40" t="s">
        <v>201</v>
      </c>
      <c r="H25" s="27" t="s">
        <v>37</v>
      </c>
      <c r="I25" s="27" t="s">
        <v>107</v>
      </c>
      <c r="J25" s="40"/>
      <c r="K25" s="40"/>
      <c r="L25" s="40"/>
      <c r="M25" s="40">
        <v>0.0574</v>
      </c>
      <c r="N25" s="27" t="s">
        <v>59</v>
      </c>
      <c r="P25" s="27" t="s">
        <v>200</v>
      </c>
      <c r="Q25" s="27" t="s">
        <v>202</v>
      </c>
      <c r="R25" s="27" t="s">
        <v>107</v>
      </c>
      <c r="S25" s="27">
        <v>38011</v>
      </c>
      <c r="U25" s="27" t="s">
        <v>203</v>
      </c>
      <c r="V25" s="40" t="s">
        <v>201</v>
      </c>
      <c r="W25" s="40"/>
      <c r="X25" s="27" t="s">
        <v>37</v>
      </c>
      <c r="Y25" s="27" t="s">
        <v>41</v>
      </c>
      <c r="Z25" s="40">
        <v>0.245</v>
      </c>
      <c r="AA25" s="40">
        <v>0.21</v>
      </c>
      <c r="AB25" s="40">
        <v>0</v>
      </c>
      <c r="AC25" s="40">
        <v>0.0574</v>
      </c>
      <c r="AD25" s="27"/>
      <c r="AE25" s="40">
        <v>0</v>
      </c>
      <c r="AF25" s="40">
        <v>0</v>
      </c>
      <c r="AG25" s="40">
        <v>1</v>
      </c>
      <c r="AH25" s="40">
        <v>1</v>
      </c>
      <c r="AI25" s="27" t="s">
        <v>110</v>
      </c>
      <c r="AJ25" s="113" t="s">
        <v>44</v>
      </c>
      <c r="AK25" s="38" t="s">
        <v>45</v>
      </c>
    </row>
    <row r="26" spans="1:37">
      <c r="A26" s="39" t="s">
        <v>204</v>
      </c>
      <c r="B26" s="27" t="s">
        <v>205</v>
      </c>
      <c r="C26" s="27" t="s">
        <v>154</v>
      </c>
      <c r="D26" s="27" t="s">
        <v>55</v>
      </c>
      <c r="F26" s="27" t="s">
        <v>206</v>
      </c>
      <c r="G26" s="40" t="s">
        <v>207</v>
      </c>
      <c r="H26" s="27" t="s">
        <v>164</v>
      </c>
      <c r="I26" s="27" t="s">
        <v>208</v>
      </c>
      <c r="J26" s="40"/>
      <c r="K26" s="40"/>
      <c r="L26" s="40"/>
      <c r="M26" s="40">
        <v>0.758</v>
      </c>
      <c r="N26" s="27" t="s">
        <v>59</v>
      </c>
      <c r="P26" s="27" t="s">
        <v>206</v>
      </c>
      <c r="Q26" s="27" t="s">
        <v>209</v>
      </c>
      <c r="R26" s="27" t="s">
        <v>208</v>
      </c>
      <c r="S26" s="44">
        <v>10270</v>
      </c>
      <c r="T26" s="44"/>
      <c r="U26" s="44" t="s">
        <v>210</v>
      </c>
      <c r="V26" s="40" t="s">
        <v>207</v>
      </c>
      <c r="W26" s="40"/>
      <c r="X26" s="27" t="s">
        <v>164</v>
      </c>
      <c r="Y26" s="27" t="s">
        <v>41</v>
      </c>
      <c r="Z26" s="40">
        <v>0.133</v>
      </c>
      <c r="AA26" s="40">
        <v>0.499</v>
      </c>
      <c r="AB26" s="40">
        <v>70.1</v>
      </c>
      <c r="AC26" s="40">
        <v>0.758</v>
      </c>
      <c r="AD26" s="27"/>
      <c r="AE26" s="40">
        <v>560</v>
      </c>
      <c r="AF26" s="40">
        <v>40</v>
      </c>
      <c r="AG26" s="40">
        <v>1157</v>
      </c>
      <c r="AH26" s="40">
        <v>63</v>
      </c>
      <c r="AI26" s="27" t="s">
        <v>62</v>
      </c>
      <c r="AJ26" s="113" t="s">
        <v>44</v>
      </c>
      <c r="AK26" s="38" t="s">
        <v>45</v>
      </c>
    </row>
    <row r="27" s="48" customFormat="1" spans="1:37">
      <c r="A27" s="34" t="s">
        <v>211</v>
      </c>
      <c r="B27" s="45" t="s">
        <v>212</v>
      </c>
      <c r="C27" s="34" t="s">
        <v>168</v>
      </c>
      <c r="D27" s="34" t="s">
        <v>33</v>
      </c>
      <c r="E27" s="34" t="s">
        <v>67</v>
      </c>
      <c r="F27" s="120" t="s">
        <v>213</v>
      </c>
      <c r="G27" s="48" t="s">
        <v>214</v>
      </c>
      <c r="H27" s="34" t="s">
        <v>164</v>
      </c>
      <c r="I27" s="34" t="s">
        <v>107</v>
      </c>
      <c r="M27" s="48">
        <v>0.000933</v>
      </c>
      <c r="N27" s="34" t="s">
        <v>38</v>
      </c>
      <c r="O27" s="34" t="s">
        <v>67</v>
      </c>
      <c r="P27" s="120" t="s">
        <v>213</v>
      </c>
      <c r="Q27" s="34" t="s">
        <v>215</v>
      </c>
      <c r="R27" s="34" t="s">
        <v>107</v>
      </c>
      <c r="S27" s="47">
        <v>51349</v>
      </c>
      <c r="T27" s="47"/>
      <c r="U27" s="47" t="s">
        <v>214</v>
      </c>
      <c r="V27" s="48" t="s">
        <v>214</v>
      </c>
      <c r="X27" s="34" t="s">
        <v>164</v>
      </c>
      <c r="Y27" s="34" t="s">
        <v>216</v>
      </c>
      <c r="Z27" s="48">
        <v>0.0898</v>
      </c>
      <c r="AA27" s="48">
        <v>0.893</v>
      </c>
      <c r="AB27" s="48">
        <v>99.6</v>
      </c>
      <c r="AC27" s="48">
        <v>0.000933</v>
      </c>
      <c r="AD27" s="48">
        <v>13596</v>
      </c>
      <c r="AE27" s="48" t="s">
        <v>42</v>
      </c>
      <c r="AF27" s="48" t="s">
        <v>42</v>
      </c>
      <c r="AG27" s="48" t="s">
        <v>42</v>
      </c>
      <c r="AH27" s="48" t="s">
        <v>42</v>
      </c>
      <c r="AI27" s="34" t="s">
        <v>110</v>
      </c>
      <c r="AJ27" s="113" t="s">
        <v>52</v>
      </c>
      <c r="AK27" s="49" t="s">
        <v>45</v>
      </c>
    </row>
    <row r="28" spans="1:37">
      <c r="A28" s="39" t="s">
        <v>217</v>
      </c>
      <c r="B28" s="42" t="s">
        <v>212</v>
      </c>
      <c r="C28" s="27" t="s">
        <v>168</v>
      </c>
      <c r="D28" s="27" t="s">
        <v>33</v>
      </c>
      <c r="E28" s="27" t="s">
        <v>187</v>
      </c>
      <c r="F28" s="27" t="s">
        <v>218</v>
      </c>
      <c r="G28" s="40" t="s">
        <v>219</v>
      </c>
      <c r="H28" s="27" t="s">
        <v>164</v>
      </c>
      <c r="I28" s="27">
        <v>3691</v>
      </c>
      <c r="J28" s="40"/>
      <c r="K28" s="40"/>
      <c r="L28" s="40"/>
      <c r="M28" s="40">
        <v>0.0056</v>
      </c>
      <c r="N28" s="27" t="s">
        <v>38</v>
      </c>
      <c r="O28" s="27" t="s">
        <v>187</v>
      </c>
      <c r="P28" s="27" t="s">
        <v>218</v>
      </c>
      <c r="Q28" s="27">
        <v>3691</v>
      </c>
      <c r="R28" s="27">
        <v>3691</v>
      </c>
      <c r="S28" s="44"/>
      <c r="T28" s="44"/>
      <c r="U28" s="44" t="s">
        <v>220</v>
      </c>
      <c r="V28" s="40" t="s">
        <v>219</v>
      </c>
      <c r="W28" s="40"/>
      <c r="X28" s="27" t="s">
        <v>164</v>
      </c>
      <c r="Y28" s="27" t="s">
        <v>41</v>
      </c>
      <c r="Z28" s="40">
        <v>0.224</v>
      </c>
      <c r="AA28" s="40">
        <v>0.521</v>
      </c>
      <c r="AB28" s="40">
        <v>64</v>
      </c>
      <c r="AC28" s="40">
        <v>0.0056</v>
      </c>
      <c r="AD28" s="40">
        <v>88</v>
      </c>
      <c r="AE28" s="27"/>
      <c r="AF28" s="27"/>
      <c r="AG28" s="27"/>
      <c r="AH28" s="27"/>
      <c r="AI28" s="27" t="s">
        <v>110</v>
      </c>
      <c r="AJ28" s="113" t="s">
        <v>63</v>
      </c>
      <c r="AK28" s="38" t="s">
        <v>45</v>
      </c>
    </row>
    <row r="29" spans="1:37">
      <c r="A29" s="39" t="s">
        <v>221</v>
      </c>
      <c r="B29" s="42" t="s">
        <v>212</v>
      </c>
      <c r="C29" s="27" t="s">
        <v>168</v>
      </c>
      <c r="D29" s="27" t="s">
        <v>33</v>
      </c>
      <c r="E29" s="27" t="s">
        <v>193</v>
      </c>
      <c r="F29" s="27" t="s">
        <v>222</v>
      </c>
      <c r="G29" s="40" t="s">
        <v>223</v>
      </c>
      <c r="H29" s="27" t="s">
        <v>164</v>
      </c>
      <c r="I29" s="27">
        <v>11884</v>
      </c>
      <c r="J29" s="40"/>
      <c r="K29" s="40"/>
      <c r="L29" s="40"/>
      <c r="M29" s="40">
        <v>0.00011</v>
      </c>
      <c r="N29" s="27" t="s">
        <v>38</v>
      </c>
      <c r="O29" s="27" t="s">
        <v>193</v>
      </c>
      <c r="P29" s="27" t="s">
        <v>222</v>
      </c>
      <c r="Q29" s="27">
        <v>11884</v>
      </c>
      <c r="R29" s="27">
        <v>11884</v>
      </c>
      <c r="S29" s="44"/>
      <c r="T29" s="44"/>
      <c r="U29" s="44" t="s">
        <v>224</v>
      </c>
      <c r="V29" s="40" t="s">
        <v>223</v>
      </c>
      <c r="W29" s="40"/>
      <c r="X29" s="27" t="s">
        <v>164</v>
      </c>
      <c r="Y29" s="27" t="s">
        <v>41</v>
      </c>
      <c r="Z29" s="40">
        <v>0.00179</v>
      </c>
      <c r="AA29" s="40">
        <v>0.181</v>
      </c>
      <c r="AB29" s="40">
        <v>78.1</v>
      </c>
      <c r="AC29" s="40">
        <v>0.00011</v>
      </c>
      <c r="AD29" s="40">
        <v>536</v>
      </c>
      <c r="AE29" s="27"/>
      <c r="AF29" s="27"/>
      <c r="AG29" s="27"/>
      <c r="AH29" s="27"/>
      <c r="AI29" s="27" t="s">
        <v>110</v>
      </c>
      <c r="AJ29" s="113" t="s">
        <v>52</v>
      </c>
      <c r="AK29" s="38" t="s">
        <v>45</v>
      </c>
    </row>
    <row r="30" spans="1:37">
      <c r="A30" s="41" t="s">
        <v>225</v>
      </c>
      <c r="B30" s="42" t="s">
        <v>226</v>
      </c>
      <c r="C30" s="27" t="s">
        <v>168</v>
      </c>
      <c r="D30" s="27" t="s">
        <v>33</v>
      </c>
      <c r="E30" s="27" t="s">
        <v>67</v>
      </c>
      <c r="F30" s="124" t="s">
        <v>227</v>
      </c>
      <c r="G30" t="s">
        <v>228</v>
      </c>
      <c r="H30" s="27" t="s">
        <v>164</v>
      </c>
      <c r="I30" s="27" t="s">
        <v>107</v>
      </c>
      <c r="J30"/>
      <c r="K30"/>
      <c r="L30"/>
      <c r="M30">
        <v>0.000583</v>
      </c>
      <c r="N30" s="27" t="s">
        <v>38</v>
      </c>
      <c r="O30" s="27" t="s">
        <v>67</v>
      </c>
      <c r="P30" s="124" t="s">
        <v>227</v>
      </c>
      <c r="Q30" s="27" t="s">
        <v>229</v>
      </c>
      <c r="R30" s="27" t="s">
        <v>107</v>
      </c>
      <c r="S30" s="27">
        <v>46469</v>
      </c>
      <c r="U30" s="27" t="s">
        <v>230</v>
      </c>
      <c r="V30" t="s">
        <v>228</v>
      </c>
      <c r="W30"/>
      <c r="X30" s="27" t="s">
        <v>164</v>
      </c>
      <c r="Y30" s="27" t="s">
        <v>216</v>
      </c>
      <c r="Z30">
        <v>0.00517</v>
      </c>
      <c r="AA30">
        <v>0.804</v>
      </c>
      <c r="AB30">
        <v>99.4</v>
      </c>
      <c r="AC30">
        <v>0.000583</v>
      </c>
      <c r="AD30">
        <v>6340</v>
      </c>
      <c r="AE30" t="s">
        <v>42</v>
      </c>
      <c r="AF30" t="s">
        <v>42</v>
      </c>
      <c r="AG30" t="s">
        <v>42</v>
      </c>
      <c r="AH30" t="s">
        <v>42</v>
      </c>
      <c r="AI30" s="27" t="s">
        <v>110</v>
      </c>
      <c r="AJ30" s="113" t="s">
        <v>52</v>
      </c>
      <c r="AK30" s="38" t="s">
        <v>45</v>
      </c>
    </row>
    <row r="31" spans="1:37">
      <c r="A31" s="39" t="s">
        <v>231</v>
      </c>
      <c r="B31" s="27" t="s">
        <v>226</v>
      </c>
      <c r="C31" s="27" t="s">
        <v>168</v>
      </c>
      <c r="D31" s="27" t="s">
        <v>33</v>
      </c>
      <c r="E31" s="27" t="s">
        <v>187</v>
      </c>
      <c r="F31" s="27" t="s">
        <v>218</v>
      </c>
      <c r="G31" s="40" t="s">
        <v>232</v>
      </c>
      <c r="H31" s="27" t="s">
        <v>164</v>
      </c>
      <c r="I31" s="27">
        <v>3981</v>
      </c>
      <c r="J31" s="40"/>
      <c r="K31" s="40"/>
      <c r="L31" s="40"/>
      <c r="M31" s="40">
        <v>0.00583</v>
      </c>
      <c r="N31" s="27" t="s">
        <v>38</v>
      </c>
      <c r="O31" s="27" t="s">
        <v>187</v>
      </c>
      <c r="P31" s="27" t="s">
        <v>218</v>
      </c>
      <c r="Q31" s="27">
        <v>3981</v>
      </c>
      <c r="R31" s="27">
        <v>3981</v>
      </c>
      <c r="S31" s="44"/>
      <c r="T31" s="44"/>
      <c r="U31" s="44" t="s">
        <v>233</v>
      </c>
      <c r="V31" s="40" t="s">
        <v>232</v>
      </c>
      <c r="W31" s="40"/>
      <c r="X31" s="27" t="s">
        <v>164</v>
      </c>
      <c r="Y31" s="27" t="s">
        <v>41</v>
      </c>
      <c r="Z31" s="40">
        <v>0.855</v>
      </c>
      <c r="AA31" s="40">
        <v>0.925</v>
      </c>
      <c r="AB31" s="40">
        <v>0</v>
      </c>
      <c r="AC31" s="40">
        <v>0.00583</v>
      </c>
      <c r="AD31" s="40">
        <v>18</v>
      </c>
      <c r="AE31" s="27"/>
      <c r="AF31" s="27"/>
      <c r="AG31" s="27"/>
      <c r="AH31" s="27"/>
      <c r="AI31" s="27" t="s">
        <v>110</v>
      </c>
      <c r="AJ31" s="113" t="s">
        <v>63</v>
      </c>
      <c r="AK31" s="38" t="s">
        <v>45</v>
      </c>
    </row>
    <row r="32" spans="1:37">
      <c r="A32" s="39" t="s">
        <v>234</v>
      </c>
      <c r="B32" s="27" t="s">
        <v>226</v>
      </c>
      <c r="C32" s="27" t="s">
        <v>168</v>
      </c>
      <c r="D32" s="27" t="s">
        <v>33</v>
      </c>
      <c r="E32" s="27" t="s">
        <v>193</v>
      </c>
      <c r="F32" s="27" t="s">
        <v>222</v>
      </c>
      <c r="G32" s="40" t="s">
        <v>235</v>
      </c>
      <c r="H32" s="27" t="s">
        <v>164</v>
      </c>
      <c r="I32" s="27">
        <v>12174</v>
      </c>
      <c r="J32" s="40"/>
      <c r="K32" s="40"/>
      <c r="L32" s="40"/>
      <c r="M32" s="40">
        <v>0.000141</v>
      </c>
      <c r="N32" s="27" t="s">
        <v>38</v>
      </c>
      <c r="O32" s="27" t="s">
        <v>193</v>
      </c>
      <c r="P32" s="27" t="s">
        <v>222</v>
      </c>
      <c r="Q32" s="27">
        <v>12174</v>
      </c>
      <c r="R32" s="27">
        <v>12174</v>
      </c>
      <c r="S32" s="44"/>
      <c r="T32" s="44"/>
      <c r="U32" s="44" t="s">
        <v>236</v>
      </c>
      <c r="V32" s="40" t="s">
        <v>235</v>
      </c>
      <c r="W32" s="40"/>
      <c r="X32" s="27" t="s">
        <v>164</v>
      </c>
      <c r="Y32" s="27" t="s">
        <v>41</v>
      </c>
      <c r="Z32" s="40">
        <v>0.11</v>
      </c>
      <c r="AA32" s="40">
        <v>0.367</v>
      </c>
      <c r="AB32" s="40">
        <v>55.1</v>
      </c>
      <c r="AC32" s="40">
        <v>0.000141</v>
      </c>
      <c r="AD32" s="40">
        <v>333</v>
      </c>
      <c r="AE32" s="27"/>
      <c r="AF32" s="27"/>
      <c r="AG32" s="27"/>
      <c r="AH32" s="27"/>
      <c r="AI32" s="27" t="s">
        <v>110</v>
      </c>
      <c r="AJ32" s="113" t="s">
        <v>52</v>
      </c>
      <c r="AK32" s="38" t="s">
        <v>45</v>
      </c>
    </row>
    <row r="33" spans="1:37">
      <c r="B33" s="29" t="s">
        <v>237</v>
      </c>
      <c r="AK33" s="106"/>
    </row>
    <row r="34" spans="1:37">
      <c r="A34" s="41" t="s">
        <v>238</v>
      </c>
      <c r="B34" s="42" t="s">
        <v>239</v>
      </c>
      <c r="C34" s="43" t="s">
        <v>240</v>
      </c>
      <c r="D34" s="27" t="s">
        <v>55</v>
      </c>
      <c r="F34" s="27" t="s">
        <v>241</v>
      </c>
      <c r="G34" t="s">
        <v>242</v>
      </c>
      <c r="H34" s="27" t="s">
        <v>37</v>
      </c>
      <c r="I34" s="27">
        <v>31944</v>
      </c>
      <c r="J34"/>
      <c r="K34"/>
      <c r="L34"/>
      <c r="M34" s="123" t="s">
        <v>243</v>
      </c>
      <c r="N34" s="27" t="s">
        <v>59</v>
      </c>
      <c r="P34" s="27" t="s">
        <v>241</v>
      </c>
      <c r="Q34" s="27" t="s">
        <v>244</v>
      </c>
      <c r="R34" s="27">
        <v>31944</v>
      </c>
      <c r="S34" s="27">
        <v>64279</v>
      </c>
      <c r="U34" s="27" t="s">
        <v>245</v>
      </c>
      <c r="V34" t="s">
        <v>242</v>
      </c>
      <c r="W34"/>
      <c r="X34" s="27" t="s">
        <v>37</v>
      </c>
      <c r="Y34" s="27" t="s">
        <v>216</v>
      </c>
      <c r="Z34">
        <v>0.000447</v>
      </c>
      <c r="AA34">
        <v>0.0787</v>
      </c>
      <c r="AB34">
        <v>92.7</v>
      </c>
      <c r="AC34" s="123" t="s">
        <v>243</v>
      </c>
      <c r="AD34">
        <v>2182</v>
      </c>
      <c r="AE34" t="s">
        <v>42</v>
      </c>
      <c r="AF34" t="s">
        <v>42</v>
      </c>
      <c r="AG34" t="s">
        <v>42</v>
      </c>
      <c r="AH34" t="s">
        <v>42</v>
      </c>
      <c r="AI34" s="27" t="s">
        <v>62</v>
      </c>
      <c r="AJ34" s="113" t="s">
        <v>52</v>
      </c>
      <c r="AK34" s="38" t="s">
        <v>45</v>
      </c>
    </row>
    <row r="35" spans="1:37">
      <c r="A35" s="41" t="s">
        <v>246</v>
      </c>
      <c r="B35" s="42" t="s">
        <v>247</v>
      </c>
      <c r="C35" s="43" t="s">
        <v>248</v>
      </c>
      <c r="D35" s="27" t="s">
        <v>33</v>
      </c>
      <c r="F35" s="27" t="s">
        <v>249</v>
      </c>
      <c r="G35" t="s">
        <v>250</v>
      </c>
      <c r="H35" s="27" t="s">
        <v>37</v>
      </c>
      <c r="I35" s="27" t="s">
        <v>251</v>
      </c>
      <c r="J35"/>
      <c r="K35"/>
      <c r="L35"/>
      <c r="M35">
        <v>0.000162</v>
      </c>
      <c r="N35" s="27" t="s">
        <v>38</v>
      </c>
      <c r="P35" s="27" t="s">
        <v>249</v>
      </c>
      <c r="Q35" s="27" t="s">
        <v>252</v>
      </c>
      <c r="R35" s="27" t="s">
        <v>251</v>
      </c>
      <c r="S35" s="27">
        <v>8227726</v>
      </c>
      <c r="U35" s="27" t="s">
        <v>253</v>
      </c>
      <c r="V35" t="s">
        <v>250</v>
      </c>
      <c r="W35"/>
      <c r="X35" s="27" t="s">
        <v>37</v>
      </c>
      <c r="Y35" s="27" t="s">
        <v>216</v>
      </c>
      <c r="Z35">
        <v>0.0158</v>
      </c>
      <c r="AA35">
        <v>0.25</v>
      </c>
      <c r="AB35">
        <v>89.9</v>
      </c>
      <c r="AC35">
        <v>0.000162</v>
      </c>
      <c r="AD35">
        <v>1391</v>
      </c>
      <c r="AE35" t="s">
        <v>42</v>
      </c>
      <c r="AF35" t="s">
        <v>42</v>
      </c>
      <c r="AG35" t="s">
        <v>42</v>
      </c>
      <c r="AH35" t="s">
        <v>42</v>
      </c>
      <c r="AI35" s="27" t="s">
        <v>62</v>
      </c>
      <c r="AJ35" s="113" t="s">
        <v>52</v>
      </c>
      <c r="AK35" s="38" t="s">
        <v>45</v>
      </c>
    </row>
    <row r="36" spans="1:37">
      <c r="A36" s="41" t="s">
        <v>254</v>
      </c>
      <c r="B36" s="42" t="s">
        <v>247</v>
      </c>
      <c r="C36" s="43" t="s">
        <v>255</v>
      </c>
      <c r="D36" s="27" t="s">
        <v>55</v>
      </c>
      <c r="F36" s="27" t="s">
        <v>256</v>
      </c>
      <c r="G36" t="s">
        <v>257</v>
      </c>
      <c r="H36" s="27" t="s">
        <v>79</v>
      </c>
      <c r="I36" s="27">
        <v>14185</v>
      </c>
      <c r="J36"/>
      <c r="K36"/>
      <c r="L36"/>
      <c r="M36" s="123" t="s">
        <v>258</v>
      </c>
      <c r="N36" s="27" t="s">
        <v>59</v>
      </c>
      <c r="P36" s="27" t="s">
        <v>256</v>
      </c>
      <c r="Q36" s="27" t="s">
        <v>259</v>
      </c>
      <c r="R36" s="27">
        <v>14185</v>
      </c>
      <c r="S36" s="27">
        <v>86359</v>
      </c>
      <c r="U36" s="27" t="s">
        <v>260</v>
      </c>
      <c r="V36" t="s">
        <v>257</v>
      </c>
      <c r="W36"/>
      <c r="X36" s="27" t="s">
        <v>79</v>
      </c>
      <c r="Y36" s="27" t="s">
        <v>216</v>
      </c>
      <c r="Z36">
        <v>0.000455</v>
      </c>
      <c r="AA36">
        <v>0.156</v>
      </c>
      <c r="AB36">
        <v>95.3</v>
      </c>
      <c r="AC36" s="123" t="s">
        <v>258</v>
      </c>
      <c r="AD36">
        <v>2892</v>
      </c>
      <c r="AE36" t="s">
        <v>42</v>
      </c>
      <c r="AF36" t="s">
        <v>42</v>
      </c>
      <c r="AG36" t="s">
        <v>42</v>
      </c>
      <c r="AH36" t="s">
        <v>42</v>
      </c>
      <c r="AI36" s="27" t="s">
        <v>62</v>
      </c>
      <c r="AJ36" s="113" t="s">
        <v>111</v>
      </c>
      <c r="AK36" s="49" t="s">
        <v>45</v>
      </c>
    </row>
    <row r="37" spans="1:37">
      <c r="A37" s="39" t="s">
        <v>261</v>
      </c>
      <c r="B37" s="27" t="s">
        <v>262</v>
      </c>
      <c r="C37" s="27" t="s">
        <v>263</v>
      </c>
      <c r="D37" s="27" t="s">
        <v>33</v>
      </c>
      <c r="E37" s="57" t="s">
        <v>85</v>
      </c>
      <c r="F37" s="122" t="s">
        <v>264</v>
      </c>
      <c r="G37" s="40" t="s">
        <v>265</v>
      </c>
      <c r="H37" s="27" t="s">
        <v>37</v>
      </c>
      <c r="I37" s="27">
        <v>4764</v>
      </c>
      <c r="J37" s="40"/>
      <c r="K37" s="40"/>
      <c r="L37" s="40"/>
      <c r="M37" s="40">
        <v>0.0135</v>
      </c>
      <c r="N37" s="27" t="s">
        <v>38</v>
      </c>
      <c r="O37" s="57" t="s">
        <v>85</v>
      </c>
      <c r="P37" s="122" t="s">
        <v>264</v>
      </c>
      <c r="Q37" s="27" t="s">
        <v>266</v>
      </c>
      <c r="R37" s="27">
        <v>4764</v>
      </c>
      <c r="S37" s="27">
        <v>103661</v>
      </c>
      <c r="U37" s="27" t="s">
        <v>267</v>
      </c>
      <c r="V37" s="40" t="s">
        <v>265</v>
      </c>
      <c r="W37" s="40"/>
      <c r="X37" s="27" t="s">
        <v>37</v>
      </c>
      <c r="Y37" s="27" t="s">
        <v>216</v>
      </c>
      <c r="Z37" s="40">
        <v>0.841</v>
      </c>
      <c r="AA37" s="40">
        <v>0.868</v>
      </c>
      <c r="AB37" s="40">
        <v>13.4</v>
      </c>
      <c r="AC37" s="40">
        <v>0.0135</v>
      </c>
      <c r="AD37" s="40">
        <v>6</v>
      </c>
      <c r="AE37" s="27"/>
      <c r="AF37" s="27"/>
      <c r="AG37" s="27"/>
      <c r="AH37" s="27"/>
      <c r="AI37" s="27" t="s">
        <v>146</v>
      </c>
      <c r="AJ37" s="113" t="s">
        <v>63</v>
      </c>
      <c r="AK37" s="38" t="s">
        <v>45</v>
      </c>
    </row>
    <row r="38" spans="1:37">
      <c r="A38" s="39" t="s">
        <v>268</v>
      </c>
      <c r="B38" s="27" t="s">
        <v>262</v>
      </c>
      <c r="C38" s="27" t="s">
        <v>263</v>
      </c>
      <c r="D38" s="27" t="s">
        <v>33</v>
      </c>
      <c r="E38" s="57" t="s">
        <v>269</v>
      </c>
      <c r="F38" s="122" t="s">
        <v>264</v>
      </c>
      <c r="G38" s="40" t="s">
        <v>270</v>
      </c>
      <c r="H38" s="27" t="s">
        <v>37</v>
      </c>
      <c r="I38" s="27">
        <v>4764</v>
      </c>
      <c r="J38" s="40"/>
      <c r="K38" s="40"/>
      <c r="L38" s="40"/>
      <c r="M38" s="40">
        <v>0.0373</v>
      </c>
      <c r="N38" s="27" t="s">
        <v>38</v>
      </c>
      <c r="O38" s="57" t="s">
        <v>269</v>
      </c>
      <c r="P38" s="122" t="s">
        <v>264</v>
      </c>
      <c r="Q38" s="27" t="s">
        <v>266</v>
      </c>
      <c r="R38" s="27">
        <v>4764</v>
      </c>
      <c r="S38" s="27">
        <v>103661</v>
      </c>
      <c r="U38" s="27" t="s">
        <v>271</v>
      </c>
      <c r="V38" s="40" t="s">
        <v>270</v>
      </c>
      <c r="W38" s="40"/>
      <c r="X38" s="27" t="s">
        <v>37</v>
      </c>
      <c r="Y38" s="27" t="s">
        <v>216</v>
      </c>
      <c r="Z38" s="40">
        <v>0.0937</v>
      </c>
      <c r="AA38" s="40">
        <v>0.518</v>
      </c>
      <c r="AB38" s="40">
        <v>0</v>
      </c>
      <c r="AC38" s="40">
        <v>0.0373</v>
      </c>
      <c r="AD38" s="27">
        <v>0</v>
      </c>
      <c r="AE38" s="27"/>
      <c r="AF38" s="27"/>
      <c r="AG38" s="27"/>
      <c r="AH38" s="27"/>
      <c r="AI38" s="27" t="s">
        <v>146</v>
      </c>
      <c r="AJ38" s="113" t="s">
        <v>63</v>
      </c>
      <c r="AK38" s="38" t="s">
        <v>45</v>
      </c>
    </row>
    <row r="39" spans="1:37">
      <c r="A39" s="39" t="s">
        <v>272</v>
      </c>
      <c r="B39" s="27" t="s">
        <v>262</v>
      </c>
      <c r="C39" s="27" t="s">
        <v>263</v>
      </c>
      <c r="D39" s="27" t="s">
        <v>33</v>
      </c>
      <c r="E39" s="27" t="s">
        <v>273</v>
      </c>
      <c r="F39" s="122" t="s">
        <v>264</v>
      </c>
      <c r="G39" s="40" t="s">
        <v>274</v>
      </c>
      <c r="H39" s="27" t="s">
        <v>37</v>
      </c>
      <c r="I39" s="27">
        <v>4764</v>
      </c>
      <c r="J39" s="40"/>
      <c r="K39" s="40"/>
      <c r="L39" s="40"/>
      <c r="M39" s="40">
        <v>0.0188</v>
      </c>
      <c r="N39" s="27" t="s">
        <v>38</v>
      </c>
      <c r="O39" s="27" t="s">
        <v>273</v>
      </c>
      <c r="P39" s="122" t="s">
        <v>264</v>
      </c>
      <c r="Q39" s="27" t="s">
        <v>266</v>
      </c>
      <c r="R39" s="27">
        <v>4764</v>
      </c>
      <c r="S39" s="27">
        <v>103661</v>
      </c>
      <c r="U39" s="27" t="s">
        <v>275</v>
      </c>
      <c r="V39" s="40" t="s">
        <v>274</v>
      </c>
      <c r="W39" s="40"/>
      <c r="X39" s="27" t="s">
        <v>37</v>
      </c>
      <c r="Y39" s="27" t="s">
        <v>216</v>
      </c>
      <c r="Z39" s="40">
        <v>0.957</v>
      </c>
      <c r="AA39" s="40">
        <v>0.773</v>
      </c>
      <c r="AB39" s="40">
        <v>0</v>
      </c>
      <c r="AC39" s="40">
        <v>0.0188</v>
      </c>
      <c r="AD39" s="40">
        <v>3</v>
      </c>
      <c r="AE39" s="27"/>
      <c r="AF39" s="27"/>
      <c r="AG39" s="27"/>
      <c r="AH39" s="27"/>
      <c r="AI39" s="27" t="s">
        <v>146</v>
      </c>
      <c r="AJ39" s="113" t="s">
        <v>63</v>
      </c>
      <c r="AK39" s="38" t="s">
        <v>45</v>
      </c>
    </row>
    <row r="40" spans="1:37">
      <c r="A40" s="41" t="s">
        <v>276</v>
      </c>
      <c r="B40" s="42" t="s">
        <v>277</v>
      </c>
      <c r="C40" s="43" t="s">
        <v>278</v>
      </c>
      <c r="D40" s="27" t="s">
        <v>55</v>
      </c>
      <c r="F40" s="124" t="s">
        <v>279</v>
      </c>
      <c r="G40" t="s">
        <v>280</v>
      </c>
      <c r="H40" s="27" t="s">
        <v>37</v>
      </c>
      <c r="I40" s="27">
        <v>2142</v>
      </c>
      <c r="J40"/>
      <c r="K40"/>
      <c r="L40"/>
      <c r="M40">
        <v>5.94e-6</v>
      </c>
      <c r="N40" s="27" t="s">
        <v>59</v>
      </c>
      <c r="P40" s="124" t="s">
        <v>279</v>
      </c>
      <c r="Q40" s="27" t="s">
        <v>281</v>
      </c>
      <c r="R40" s="27">
        <v>2142</v>
      </c>
      <c r="S40" s="27">
        <v>120271</v>
      </c>
      <c r="U40" s="27" t="s">
        <v>282</v>
      </c>
      <c r="V40" t="s">
        <v>280</v>
      </c>
      <c r="W40"/>
      <c r="X40" s="27" t="s">
        <v>37</v>
      </c>
      <c r="Y40" s="27" t="s">
        <v>41</v>
      </c>
      <c r="Z40">
        <v>0.111</v>
      </c>
      <c r="AA40">
        <v>0.333</v>
      </c>
      <c r="AB40">
        <v>88.1</v>
      </c>
      <c r="AC40">
        <v>5.94e-6</v>
      </c>
      <c r="AD40">
        <v>1760</v>
      </c>
      <c r="AE40" t="s">
        <v>42</v>
      </c>
      <c r="AF40" t="s">
        <v>42</v>
      </c>
      <c r="AG40" t="s">
        <v>42</v>
      </c>
      <c r="AH40" t="s">
        <v>42</v>
      </c>
      <c r="AI40" s="27" t="s">
        <v>83</v>
      </c>
      <c r="AJ40" s="113" t="s">
        <v>52</v>
      </c>
      <c r="AK40" s="38" t="s">
        <v>45</v>
      </c>
    </row>
    <row r="41" spans="1:37">
      <c r="A41" s="41" t="s">
        <v>283</v>
      </c>
      <c r="B41" s="42" t="s">
        <v>284</v>
      </c>
      <c r="C41" s="43" t="s">
        <v>285</v>
      </c>
      <c r="D41" s="27" t="s">
        <v>33</v>
      </c>
      <c r="F41" s="124" t="s">
        <v>286</v>
      </c>
      <c r="G41" t="s">
        <v>287</v>
      </c>
      <c r="H41" s="27" t="s">
        <v>37</v>
      </c>
      <c r="I41" s="27">
        <v>6174</v>
      </c>
      <c r="J41"/>
      <c r="K41"/>
      <c r="L41"/>
      <c r="M41">
        <v>0.542</v>
      </c>
      <c r="N41" s="27" t="s">
        <v>38</v>
      </c>
      <c r="P41" s="124" t="s">
        <v>286</v>
      </c>
      <c r="Q41" s="27" t="s">
        <v>288</v>
      </c>
      <c r="R41" s="27">
        <v>6174</v>
      </c>
      <c r="S41" s="27">
        <v>6650071</v>
      </c>
      <c r="U41" s="27" t="s">
        <v>289</v>
      </c>
      <c r="V41" t="s">
        <v>287</v>
      </c>
      <c r="W41"/>
      <c r="X41" s="27" t="s">
        <v>37</v>
      </c>
      <c r="Y41" s="27" t="s">
        <v>216</v>
      </c>
      <c r="Z41">
        <v>0.655</v>
      </c>
      <c r="AA41">
        <v>0.83</v>
      </c>
      <c r="AB41">
        <v>67.5</v>
      </c>
      <c r="AC41">
        <v>0.542</v>
      </c>
      <c r="AD41" t="s">
        <v>42</v>
      </c>
      <c r="AE41">
        <v>179</v>
      </c>
      <c r="AF41">
        <v>1444</v>
      </c>
      <c r="AG41">
        <v>380</v>
      </c>
      <c r="AH41" t="s">
        <v>159</v>
      </c>
      <c r="AI41" s="27" t="s">
        <v>110</v>
      </c>
      <c r="AJ41" s="113" t="s">
        <v>44</v>
      </c>
      <c r="AK41" s="38" t="s">
        <v>45</v>
      </c>
    </row>
    <row r="42" spans="1:37">
      <c r="A42" s="41" t="s">
        <v>290</v>
      </c>
      <c r="B42" s="42" t="s">
        <v>284</v>
      </c>
      <c r="C42" s="43" t="s">
        <v>285</v>
      </c>
      <c r="D42" s="27" t="s">
        <v>55</v>
      </c>
      <c r="F42" s="124" t="s">
        <v>291</v>
      </c>
      <c r="G42" t="s">
        <v>292</v>
      </c>
      <c r="H42" s="27" t="s">
        <v>37</v>
      </c>
      <c r="I42" s="27">
        <v>3028</v>
      </c>
      <c r="J42"/>
      <c r="K42"/>
      <c r="L42"/>
      <c r="M42">
        <v>0.000161</v>
      </c>
      <c r="N42" s="27" t="s">
        <v>59</v>
      </c>
      <c r="P42" s="124" t="s">
        <v>291</v>
      </c>
      <c r="Q42" s="27" t="s">
        <v>293</v>
      </c>
      <c r="R42" s="27">
        <v>3028</v>
      </c>
      <c r="S42" s="27">
        <v>55616</v>
      </c>
      <c r="U42" s="27" t="s">
        <v>294</v>
      </c>
      <c r="V42" t="s">
        <v>292</v>
      </c>
      <c r="W42"/>
      <c r="X42" s="27" t="s">
        <v>37</v>
      </c>
      <c r="Y42" s="27" t="s">
        <v>216</v>
      </c>
      <c r="Z42">
        <v>0.123</v>
      </c>
      <c r="AA42">
        <v>0.144</v>
      </c>
      <c r="AB42">
        <v>39.7</v>
      </c>
      <c r="AC42">
        <v>0.000161</v>
      </c>
      <c r="AD42">
        <v>271</v>
      </c>
      <c r="AE42" t="s">
        <v>42</v>
      </c>
      <c r="AF42" t="s">
        <v>42</v>
      </c>
      <c r="AG42" t="s">
        <v>42</v>
      </c>
      <c r="AH42" t="s">
        <v>42</v>
      </c>
      <c r="AI42" s="27" t="s">
        <v>110</v>
      </c>
      <c r="AJ42" s="113" t="s">
        <v>52</v>
      </c>
      <c r="AK42" s="38" t="s">
        <v>62</v>
      </c>
    </row>
    <row r="43" spans="1:37">
      <c r="A43" s="41" t="s">
        <v>295</v>
      </c>
      <c r="B43" s="42" t="s">
        <v>296</v>
      </c>
      <c r="C43" s="27" t="s">
        <v>297</v>
      </c>
      <c r="D43" s="27" t="s">
        <v>33</v>
      </c>
      <c r="F43" s="122" t="s">
        <v>298</v>
      </c>
      <c r="G43" t="s">
        <v>299</v>
      </c>
      <c r="H43" s="27" t="s">
        <v>37</v>
      </c>
      <c r="I43" s="27">
        <v>41159</v>
      </c>
      <c r="J43"/>
      <c r="K43"/>
      <c r="L43"/>
      <c r="M43">
        <v>0.00933</v>
      </c>
      <c r="N43" s="27" t="s">
        <v>38</v>
      </c>
      <c r="P43" s="122" t="s">
        <v>298</v>
      </c>
      <c r="Q43" s="27" t="s">
        <v>300</v>
      </c>
      <c r="R43" s="27">
        <v>41159</v>
      </c>
      <c r="S43" s="27">
        <v>8997027</v>
      </c>
      <c r="U43" s="27" t="s">
        <v>301</v>
      </c>
      <c r="V43" t="s">
        <v>299</v>
      </c>
      <c r="W43"/>
      <c r="X43" s="27" t="s">
        <v>37</v>
      </c>
      <c r="Y43" s="27" t="s">
        <v>216</v>
      </c>
      <c r="Z43">
        <v>0.888</v>
      </c>
      <c r="AA43">
        <v>0.454</v>
      </c>
      <c r="AB43">
        <v>92.1</v>
      </c>
      <c r="AC43">
        <v>0.00933</v>
      </c>
      <c r="AD43">
        <v>575</v>
      </c>
      <c r="AE43" t="s">
        <v>42</v>
      </c>
      <c r="AF43" t="s">
        <v>42</v>
      </c>
      <c r="AG43" t="s">
        <v>42</v>
      </c>
      <c r="AH43" t="s">
        <v>42</v>
      </c>
      <c r="AI43" s="27" t="s">
        <v>110</v>
      </c>
      <c r="AJ43" s="113" t="s">
        <v>63</v>
      </c>
      <c r="AK43" s="38" t="s">
        <v>45</v>
      </c>
    </row>
    <row r="44" s="48" customFormat="1" spans="1:37">
      <c r="A44" s="34" t="s">
        <v>302</v>
      </c>
      <c r="B44" s="45" t="s">
        <v>303</v>
      </c>
      <c r="C44" s="34" t="s">
        <v>240</v>
      </c>
      <c r="D44" s="34" t="s">
        <v>55</v>
      </c>
      <c r="E44" s="34"/>
      <c r="F44" s="126" t="s">
        <v>304</v>
      </c>
      <c r="H44" s="34" t="s">
        <v>37</v>
      </c>
      <c r="I44" s="34">
        <v>890</v>
      </c>
      <c r="M44" s="48">
        <v>0.14</v>
      </c>
      <c r="N44" s="34" t="s">
        <v>59</v>
      </c>
      <c r="O44" s="34"/>
      <c r="P44" s="126" t="s">
        <v>304</v>
      </c>
      <c r="Q44" s="34" t="s">
        <v>305</v>
      </c>
      <c r="R44" s="34">
        <v>890</v>
      </c>
      <c r="S44" s="47">
        <v>2167</v>
      </c>
      <c r="T44" s="47"/>
      <c r="U44" s="47" t="s">
        <v>306</v>
      </c>
      <c r="W44" s="48">
        <v>1</v>
      </c>
      <c r="X44" s="34" t="s">
        <v>37</v>
      </c>
      <c r="Y44" s="34" t="s">
        <v>216</v>
      </c>
      <c r="Z44" s="48">
        <v>0.528</v>
      </c>
      <c r="AA44" s="48">
        <v>1</v>
      </c>
      <c r="AB44" s="48">
        <v>0</v>
      </c>
      <c r="AC44" s="48">
        <v>0.14</v>
      </c>
      <c r="AD44" s="48" t="s">
        <v>42</v>
      </c>
      <c r="AE44" s="48">
        <v>1</v>
      </c>
      <c r="AF44" s="48">
        <v>1</v>
      </c>
      <c r="AG44" s="48">
        <v>4</v>
      </c>
      <c r="AH44" s="48">
        <v>3</v>
      </c>
      <c r="AI44" s="34" t="s">
        <v>62</v>
      </c>
      <c r="AJ44" s="113" t="s">
        <v>44</v>
      </c>
      <c r="AK44" s="49" t="s">
        <v>45</v>
      </c>
    </row>
    <row r="45" spans="1:37">
      <c r="A45" s="41" t="s">
        <v>307</v>
      </c>
      <c r="B45" s="42" t="s">
        <v>308</v>
      </c>
      <c r="C45" s="27" t="s">
        <v>309</v>
      </c>
      <c r="D45" s="27" t="s">
        <v>33</v>
      </c>
      <c r="F45" s="124" t="s">
        <v>310</v>
      </c>
      <c r="G45" t="s">
        <v>311</v>
      </c>
      <c r="H45" s="27" t="s">
        <v>37</v>
      </c>
      <c r="I45" s="27">
        <v>10457</v>
      </c>
      <c r="J45"/>
      <c r="K45"/>
      <c r="L45"/>
      <c r="M45">
        <v>0.000337</v>
      </c>
      <c r="N45" s="27" t="s">
        <v>38</v>
      </c>
      <c r="P45" s="124" t="s">
        <v>310</v>
      </c>
      <c r="Q45" s="27" t="s">
        <v>312</v>
      </c>
      <c r="R45" s="27">
        <v>10457</v>
      </c>
      <c r="S45" s="27">
        <v>8510875</v>
      </c>
      <c r="U45" s="27" t="s">
        <v>313</v>
      </c>
      <c r="V45" t="s">
        <v>311</v>
      </c>
      <c r="W45"/>
      <c r="X45" s="27" t="s">
        <v>37</v>
      </c>
      <c r="Y45" s="27" t="s">
        <v>216</v>
      </c>
      <c r="Z45">
        <v>0.0685</v>
      </c>
      <c r="AA45">
        <v>0.529</v>
      </c>
      <c r="AB45">
        <v>0</v>
      </c>
      <c r="AC45">
        <v>0.000337</v>
      </c>
      <c r="AD45">
        <v>117</v>
      </c>
      <c r="AE45" t="s">
        <v>42</v>
      </c>
      <c r="AF45" t="s">
        <v>42</v>
      </c>
      <c r="AG45" t="s">
        <v>42</v>
      </c>
      <c r="AH45" t="s">
        <v>42</v>
      </c>
      <c r="AI45" s="27" t="s">
        <v>62</v>
      </c>
      <c r="AJ45" s="113" t="s">
        <v>52</v>
      </c>
      <c r="AK45" s="38" t="s">
        <v>45</v>
      </c>
    </row>
    <row r="46" ht="16" spans="1:37">
      <c r="A46" s="41" t="s">
        <v>314</v>
      </c>
      <c r="B46" s="42" t="s">
        <v>315</v>
      </c>
      <c r="C46" s="27" t="s">
        <v>309</v>
      </c>
      <c r="D46" s="27" t="s">
        <v>33</v>
      </c>
      <c r="F46" s="122" t="s">
        <v>316</v>
      </c>
      <c r="G46" t="s">
        <v>317</v>
      </c>
      <c r="H46" s="27" t="s">
        <v>37</v>
      </c>
      <c r="I46" s="27">
        <v>16050</v>
      </c>
      <c r="J46"/>
      <c r="K46"/>
      <c r="L46"/>
      <c r="M46">
        <v>0.312</v>
      </c>
      <c r="N46" s="27" t="s">
        <v>38</v>
      </c>
      <c r="P46" s="122" t="s">
        <v>316</v>
      </c>
      <c r="Q46" s="27" t="s">
        <v>318</v>
      </c>
      <c r="R46" s="27">
        <v>16050</v>
      </c>
      <c r="S46" s="27">
        <v>13114333</v>
      </c>
      <c r="U46" s="27" t="s">
        <v>319</v>
      </c>
      <c r="V46" t="s">
        <v>317</v>
      </c>
      <c r="W46"/>
      <c r="X46" s="27" t="s">
        <v>37</v>
      </c>
      <c r="Y46" s="27" t="s">
        <v>216</v>
      </c>
      <c r="Z46">
        <v>0.904</v>
      </c>
      <c r="AA46">
        <v>0.292</v>
      </c>
      <c r="AB46">
        <v>73.2</v>
      </c>
      <c r="AC46">
        <v>0.312</v>
      </c>
      <c r="AD46" t="s">
        <v>42</v>
      </c>
      <c r="AE46">
        <v>19</v>
      </c>
      <c r="AF46">
        <v>4</v>
      </c>
      <c r="AG46">
        <v>46</v>
      </c>
      <c r="AH46">
        <v>6</v>
      </c>
      <c r="AI46" s="27" t="s">
        <v>62</v>
      </c>
      <c r="AJ46" s="113" t="s">
        <v>44</v>
      </c>
      <c r="AK46" s="38" t="s">
        <v>45</v>
      </c>
    </row>
    <row r="47" spans="1:37">
      <c r="A47" s="41" t="s">
        <v>320</v>
      </c>
      <c r="B47" s="42" t="s">
        <v>321</v>
      </c>
      <c r="C47" s="27" t="s">
        <v>297</v>
      </c>
      <c r="D47" s="27" t="s">
        <v>33</v>
      </c>
      <c r="F47" s="122" t="s">
        <v>322</v>
      </c>
      <c r="G47" s="117" t="s">
        <v>323</v>
      </c>
      <c r="H47" s="27" t="s">
        <v>37</v>
      </c>
      <c r="I47" s="27">
        <v>15673</v>
      </c>
      <c r="J47"/>
      <c r="K47"/>
      <c r="L47"/>
      <c r="M47">
        <v>0.0216</v>
      </c>
      <c r="N47" s="27" t="s">
        <v>38</v>
      </c>
      <c r="P47" s="122" t="s">
        <v>322</v>
      </c>
      <c r="Q47" s="27" t="s">
        <v>324</v>
      </c>
      <c r="R47" s="27">
        <v>15673</v>
      </c>
      <c r="S47" s="27">
        <v>6659509</v>
      </c>
      <c r="U47" s="27" t="s">
        <v>325</v>
      </c>
      <c r="V47" s="117" t="s">
        <v>323</v>
      </c>
      <c r="W47"/>
      <c r="X47" s="27" t="s">
        <v>37</v>
      </c>
      <c r="Y47" s="27" t="s">
        <v>216</v>
      </c>
      <c r="Z47">
        <v>0.795</v>
      </c>
      <c r="AA47">
        <v>0.604</v>
      </c>
      <c r="AB47">
        <v>94</v>
      </c>
      <c r="AC47">
        <v>0.0216</v>
      </c>
      <c r="AD47">
        <v>377</v>
      </c>
      <c r="AE47" t="s">
        <v>42</v>
      </c>
      <c r="AF47" t="s">
        <v>42</v>
      </c>
      <c r="AG47" t="s">
        <v>42</v>
      </c>
      <c r="AH47" t="s">
        <v>42</v>
      </c>
      <c r="AI47" s="27" t="s">
        <v>110</v>
      </c>
      <c r="AJ47" s="113" t="s">
        <v>63</v>
      </c>
      <c r="AK47" s="38" t="s">
        <v>45</v>
      </c>
    </row>
    <row r="48" spans="1:37">
      <c r="A48" s="41" t="s">
        <v>326</v>
      </c>
      <c r="B48" s="42" t="s">
        <v>327</v>
      </c>
      <c r="C48" s="27" t="s">
        <v>297</v>
      </c>
      <c r="D48" s="27" t="s">
        <v>33</v>
      </c>
      <c r="F48" s="27" t="s">
        <v>328</v>
      </c>
      <c r="G48" s="40" t="s">
        <v>329</v>
      </c>
      <c r="H48" s="27" t="s">
        <v>37</v>
      </c>
      <c r="I48" s="27">
        <v>11580</v>
      </c>
      <c r="J48" s="119">
        <v>1.004</v>
      </c>
      <c r="K48" s="119">
        <v>1.602</v>
      </c>
      <c r="L48" s="119" t="b">
        <v>0</v>
      </c>
      <c r="M48" s="40">
        <v>1.31e-7</v>
      </c>
      <c r="N48" s="27" t="s">
        <v>38</v>
      </c>
      <c r="P48" s="27" t="s">
        <v>328</v>
      </c>
      <c r="Q48" s="27" t="s">
        <v>330</v>
      </c>
      <c r="R48" s="27">
        <v>11580</v>
      </c>
      <c r="S48" s="27">
        <v>9764908</v>
      </c>
      <c r="U48" s="27" t="s">
        <v>329</v>
      </c>
      <c r="V48" s="40" t="s">
        <v>329</v>
      </c>
      <c r="W48" s="40"/>
      <c r="X48" s="27" t="s">
        <v>37</v>
      </c>
      <c r="Y48" s="27" t="s">
        <v>216</v>
      </c>
      <c r="Z48" s="40">
        <v>0.13</v>
      </c>
      <c r="AA48" s="40">
        <v>0.691</v>
      </c>
      <c r="AB48">
        <v>36.4</v>
      </c>
      <c r="AC48" s="40">
        <v>1.31e-7</v>
      </c>
      <c r="AD48">
        <v>614</v>
      </c>
      <c r="AE48" t="s">
        <v>42</v>
      </c>
      <c r="AF48" t="s">
        <v>42</v>
      </c>
      <c r="AG48" t="s">
        <v>42</v>
      </c>
      <c r="AH48" t="s">
        <v>42</v>
      </c>
      <c r="AI48" s="27" t="s">
        <v>110</v>
      </c>
      <c r="AJ48" s="113" t="s">
        <v>145</v>
      </c>
      <c r="AK48" s="38" t="s">
        <v>45</v>
      </c>
    </row>
    <row r="49" s="48" customFormat="1" spans="1:39">
      <c r="A49" s="34" t="s">
        <v>331</v>
      </c>
      <c r="B49" s="45" t="s">
        <v>327</v>
      </c>
      <c r="C49" s="34" t="s">
        <v>240</v>
      </c>
      <c r="D49" s="34" t="s">
        <v>55</v>
      </c>
      <c r="E49" s="34"/>
      <c r="F49" s="127" t="s">
        <v>332</v>
      </c>
      <c r="H49" s="34" t="s">
        <v>37</v>
      </c>
      <c r="I49" s="34">
        <v>592</v>
      </c>
      <c r="M49" s="48">
        <v>0.0788</v>
      </c>
      <c r="N49" s="34" t="s">
        <v>59</v>
      </c>
      <c r="O49" s="34"/>
      <c r="P49" s="127" t="s">
        <v>332</v>
      </c>
      <c r="Q49" s="34" t="s">
        <v>333</v>
      </c>
      <c r="R49" s="34">
        <v>592</v>
      </c>
      <c r="S49" s="47">
        <v>6607</v>
      </c>
      <c r="T49" s="47"/>
      <c r="U49" s="47" t="s">
        <v>334</v>
      </c>
      <c r="W49" s="48">
        <v>1</v>
      </c>
      <c r="X49" s="34" t="s">
        <v>37</v>
      </c>
      <c r="Y49" s="34" t="s">
        <v>216</v>
      </c>
      <c r="Z49" s="48" t="s">
        <v>43</v>
      </c>
      <c r="AA49" s="48">
        <v>0.785</v>
      </c>
      <c r="AB49" s="48">
        <v>0</v>
      </c>
      <c r="AC49" s="48">
        <v>0.0788</v>
      </c>
      <c r="AD49" s="48" t="s">
        <v>42</v>
      </c>
      <c r="AE49" s="48">
        <v>0</v>
      </c>
      <c r="AF49" s="48">
        <v>0</v>
      </c>
      <c r="AG49" s="48">
        <v>1</v>
      </c>
      <c r="AH49" s="48">
        <v>1</v>
      </c>
      <c r="AI49" s="34" t="s">
        <v>62</v>
      </c>
      <c r="AJ49" s="113" t="s">
        <v>44</v>
      </c>
      <c r="AK49" s="49" t="s">
        <v>45</v>
      </c>
    </row>
    <row r="50" s="48" customFormat="1" spans="1:39">
      <c r="A50" s="34" t="s">
        <v>335</v>
      </c>
      <c r="B50" s="47" t="s">
        <v>336</v>
      </c>
      <c r="C50" s="34" t="s">
        <v>337</v>
      </c>
      <c r="D50" s="34" t="s">
        <v>33</v>
      </c>
      <c r="E50" s="34"/>
      <c r="F50" s="127" t="s">
        <v>338</v>
      </c>
      <c r="G50" s="7"/>
      <c r="H50" s="34" t="s">
        <v>37</v>
      </c>
      <c r="I50" s="34">
        <v>4932</v>
      </c>
      <c r="J50" s="7"/>
      <c r="K50" s="7"/>
      <c r="L50" s="7"/>
      <c r="M50" s="7">
        <v>0.0578</v>
      </c>
      <c r="N50" s="34" t="s">
        <v>38</v>
      </c>
      <c r="O50" s="34"/>
      <c r="P50" s="127" t="s">
        <v>338</v>
      </c>
      <c r="Q50" s="34" t="s">
        <v>339</v>
      </c>
      <c r="R50" s="34">
        <v>4932</v>
      </c>
      <c r="S50" s="47" t="s">
        <v>43</v>
      </c>
      <c r="T50" s="47"/>
      <c r="U50" s="47" t="s">
        <v>340</v>
      </c>
      <c r="V50" s="7"/>
      <c r="W50" s="7">
        <v>1</v>
      </c>
      <c r="X50" s="34" t="s">
        <v>37</v>
      </c>
      <c r="Y50" s="34" t="s">
        <v>341</v>
      </c>
      <c r="Z50" s="7">
        <v>0.502</v>
      </c>
      <c r="AA50" s="7">
        <v>0.991</v>
      </c>
      <c r="AB50" s="34">
        <v>74.3</v>
      </c>
      <c r="AC50" s="7">
        <v>0.0578</v>
      </c>
      <c r="AD50" s="34"/>
      <c r="AE50" s="7">
        <v>0</v>
      </c>
      <c r="AF50" s="7">
        <v>374</v>
      </c>
      <c r="AG50" s="7">
        <v>4</v>
      </c>
      <c r="AH50" s="7">
        <v>918</v>
      </c>
      <c r="AI50" s="34" t="s">
        <v>62</v>
      </c>
      <c r="AJ50" s="113" t="s">
        <v>44</v>
      </c>
      <c r="AK50" s="49" t="s">
        <v>45</v>
      </c>
      <c r="AL50" s="34"/>
      <c r="AM50" s="34"/>
    </row>
    <row r="51" spans="1:39">
      <c r="A51" s="27" t="s">
        <v>342</v>
      </c>
      <c r="B51" s="27" t="s">
        <v>336</v>
      </c>
      <c r="C51" s="27" t="s">
        <v>337</v>
      </c>
      <c r="D51" s="27" t="s">
        <v>55</v>
      </c>
      <c r="F51" s="122" t="s">
        <v>343</v>
      </c>
      <c r="G51" s="40" t="s">
        <v>344</v>
      </c>
      <c r="H51" s="27" t="s">
        <v>37</v>
      </c>
      <c r="I51" s="27" t="s">
        <v>345</v>
      </c>
      <c r="J51" s="40"/>
      <c r="K51" s="40"/>
      <c r="L51" s="40"/>
      <c r="M51" s="40">
        <v>0.00369</v>
      </c>
      <c r="N51" s="27" t="s">
        <v>59</v>
      </c>
      <c r="P51" s="122" t="s">
        <v>343</v>
      </c>
      <c r="Q51" s="27" t="s">
        <v>346</v>
      </c>
      <c r="R51" s="27" t="s">
        <v>345</v>
      </c>
      <c r="S51" s="27" t="s">
        <v>43</v>
      </c>
      <c r="U51" s="27" t="s">
        <v>347</v>
      </c>
      <c r="V51" s="40" t="s">
        <v>344</v>
      </c>
      <c r="W51" s="40"/>
      <c r="X51" s="27" t="s">
        <v>37</v>
      </c>
      <c r="Y51" s="27" t="s">
        <v>341</v>
      </c>
      <c r="Z51" s="40">
        <v>0.468</v>
      </c>
      <c r="AA51" s="40">
        <v>1</v>
      </c>
      <c r="AB51" s="40">
        <v>0</v>
      </c>
      <c r="AC51" s="40">
        <v>0.00369</v>
      </c>
      <c r="AD51" s="40">
        <v>4</v>
      </c>
      <c r="AE51" s="27"/>
      <c r="AF51" s="27"/>
      <c r="AG51" s="27"/>
      <c r="AH51" s="27"/>
      <c r="AI51" s="27" t="s">
        <v>62</v>
      </c>
      <c r="AJ51" s="113" t="s">
        <v>63</v>
      </c>
      <c r="AK51" s="38" t="s">
        <v>45</v>
      </c>
      <c r="AL51" s="27"/>
      <c r="AM51" s="27"/>
    </row>
    <row r="52" spans="1:39">
      <c r="A52" s="27" t="s">
        <v>348</v>
      </c>
      <c r="B52" s="27" t="s">
        <v>349</v>
      </c>
      <c r="C52" s="27" t="s">
        <v>350</v>
      </c>
      <c r="D52" s="27" t="s">
        <v>33</v>
      </c>
      <c r="F52" s="27" t="s">
        <v>351</v>
      </c>
      <c r="G52" s="40" t="s">
        <v>352</v>
      </c>
      <c r="H52" s="27" t="s">
        <v>37</v>
      </c>
      <c r="I52" s="27">
        <v>8798</v>
      </c>
      <c r="M52" s="27">
        <v>0.000132</v>
      </c>
      <c r="N52" s="27" t="s">
        <v>38</v>
      </c>
      <c r="P52" s="27" t="s">
        <v>351</v>
      </c>
      <c r="Q52" s="27" t="s">
        <v>353</v>
      </c>
      <c r="R52" s="27">
        <v>8798</v>
      </c>
      <c r="S52" s="27">
        <v>913611</v>
      </c>
      <c r="U52" s="27" t="s">
        <v>354</v>
      </c>
      <c r="V52" s="40" t="s">
        <v>352</v>
      </c>
      <c r="X52" s="27" t="s">
        <v>37</v>
      </c>
      <c r="Y52" s="27" t="s">
        <v>216</v>
      </c>
      <c r="Z52" s="27">
        <v>0.113</v>
      </c>
      <c r="AA52" s="27">
        <v>0.608</v>
      </c>
      <c r="AB52" s="27">
        <v>70.6</v>
      </c>
      <c r="AC52" s="27">
        <v>0.000132</v>
      </c>
      <c r="AD52" s="27">
        <v>481</v>
      </c>
      <c r="AE52" s="27"/>
      <c r="AF52" s="27"/>
      <c r="AG52" s="27"/>
      <c r="AH52" s="27"/>
      <c r="AI52" s="27" t="s">
        <v>146</v>
      </c>
      <c r="AJ52" s="113" t="s">
        <v>52</v>
      </c>
      <c r="AK52" s="38" t="s">
        <v>45</v>
      </c>
      <c r="AL52" s="27"/>
      <c r="AM52" s="27"/>
    </row>
    <row r="53" ht="16" spans="1:39">
      <c r="A53" s="41" t="s">
        <v>355</v>
      </c>
      <c r="B53" s="42" t="s">
        <v>356</v>
      </c>
      <c r="C53" s="27" t="s">
        <v>357</v>
      </c>
      <c r="D53" s="27" t="s">
        <v>33</v>
      </c>
      <c r="F53" s="124" t="s">
        <v>358</v>
      </c>
      <c r="G53"/>
      <c r="H53" s="27" t="s">
        <v>79</v>
      </c>
      <c r="I53" s="27">
        <v>9279</v>
      </c>
      <c r="J53"/>
      <c r="K53"/>
      <c r="L53"/>
      <c r="M53">
        <v>0.194</v>
      </c>
      <c r="N53" s="27" t="s">
        <v>38</v>
      </c>
      <c r="P53" s="124" t="s">
        <v>358</v>
      </c>
      <c r="Q53" s="27" t="s">
        <v>359</v>
      </c>
      <c r="R53" s="27">
        <v>9279</v>
      </c>
      <c r="S53" s="27">
        <v>52938</v>
      </c>
      <c r="U53" s="27" t="s">
        <v>360</v>
      </c>
      <c r="V53"/>
      <c r="W53"/>
      <c r="X53" s="27" t="s">
        <v>79</v>
      </c>
      <c r="Y53" s="27" t="s">
        <v>216</v>
      </c>
      <c r="Z53">
        <v>0.333</v>
      </c>
      <c r="AA53">
        <v>0.97</v>
      </c>
      <c r="AB53">
        <v>94.7</v>
      </c>
      <c r="AC53">
        <v>0.194</v>
      </c>
      <c r="AD53" t="s">
        <v>42</v>
      </c>
      <c r="AE53">
        <v>14</v>
      </c>
      <c r="AF53">
        <v>221</v>
      </c>
      <c r="AG53">
        <v>39</v>
      </c>
      <c r="AH53">
        <v>552</v>
      </c>
      <c r="AI53" s="27" t="s">
        <v>62</v>
      </c>
      <c r="AJ53" s="113" t="s">
        <v>44</v>
      </c>
      <c r="AK53" s="38" t="s">
        <v>45</v>
      </c>
    </row>
    <row r="54" s="48" customFormat="1" spans="1:39">
      <c r="A54" s="34" t="s">
        <v>361</v>
      </c>
      <c r="B54" s="45" t="s">
        <v>362</v>
      </c>
      <c r="C54" s="34" t="s">
        <v>297</v>
      </c>
      <c r="D54" s="34" t="s">
        <v>33</v>
      </c>
      <c r="E54" s="34"/>
      <c r="F54" s="34" t="s">
        <v>363</v>
      </c>
      <c r="H54" s="34" t="s">
        <v>37</v>
      </c>
      <c r="I54" s="34">
        <v>5876</v>
      </c>
      <c r="M54" s="48">
        <v>0.0564</v>
      </c>
      <c r="N54" s="34" t="s">
        <v>38</v>
      </c>
      <c r="O54" s="34"/>
      <c r="P54" s="34" t="s">
        <v>363</v>
      </c>
      <c r="Q54" s="34" t="s">
        <v>364</v>
      </c>
      <c r="R54" s="34">
        <v>5876</v>
      </c>
      <c r="S54" s="47">
        <v>3963972</v>
      </c>
      <c r="T54" s="47"/>
      <c r="U54" s="47" t="s">
        <v>365</v>
      </c>
      <c r="W54" s="48">
        <v>1</v>
      </c>
      <c r="X54" s="34" t="s">
        <v>37</v>
      </c>
      <c r="Y54" s="34" t="s">
        <v>216</v>
      </c>
      <c r="Z54" s="48">
        <v>0.14</v>
      </c>
      <c r="AA54" s="48">
        <v>0.0916</v>
      </c>
      <c r="AB54" s="48">
        <v>88.9</v>
      </c>
      <c r="AC54" s="48">
        <v>0.0564</v>
      </c>
      <c r="AD54" s="48" t="s">
        <v>42</v>
      </c>
      <c r="AE54" s="48">
        <v>0</v>
      </c>
      <c r="AF54" s="48">
        <v>0</v>
      </c>
      <c r="AG54" s="48">
        <v>1</v>
      </c>
      <c r="AH54" s="48">
        <v>1</v>
      </c>
      <c r="AI54" s="34" t="s">
        <v>110</v>
      </c>
      <c r="AJ54" s="113" t="s">
        <v>44</v>
      </c>
      <c r="AK54" s="49" t="s">
        <v>45</v>
      </c>
    </row>
    <row r="55" spans="1:39">
      <c r="A55" s="41" t="s">
        <v>366</v>
      </c>
      <c r="B55" s="42" t="s">
        <v>367</v>
      </c>
      <c r="C55" s="27" t="s">
        <v>297</v>
      </c>
      <c r="D55" s="27" t="s">
        <v>33</v>
      </c>
      <c r="F55" s="122" t="s">
        <v>368</v>
      </c>
      <c r="G55" t="s">
        <v>369</v>
      </c>
      <c r="H55" s="27" t="s">
        <v>37</v>
      </c>
      <c r="I55" s="27">
        <v>4541</v>
      </c>
      <c r="J55"/>
      <c r="K55"/>
      <c r="L55"/>
      <c r="M55">
        <v>0.0156</v>
      </c>
      <c r="N55" s="27" t="s">
        <v>38</v>
      </c>
      <c r="P55" s="122" t="s">
        <v>368</v>
      </c>
      <c r="Q55" s="27" t="s">
        <v>370</v>
      </c>
      <c r="R55" s="27">
        <v>4541</v>
      </c>
      <c r="S55" s="27">
        <v>3673679</v>
      </c>
      <c r="U55" s="27" t="s">
        <v>371</v>
      </c>
      <c r="V55" t="s">
        <v>369</v>
      </c>
      <c r="W55"/>
      <c r="X55" s="27" t="s">
        <v>37</v>
      </c>
      <c r="Y55" s="27" t="s">
        <v>216</v>
      </c>
      <c r="Z55">
        <v>0.236</v>
      </c>
      <c r="AA55">
        <v>0.21</v>
      </c>
      <c r="AB55">
        <v>55.3</v>
      </c>
      <c r="AC55">
        <v>0.0156</v>
      </c>
      <c r="AD55">
        <v>160</v>
      </c>
      <c r="AE55" t="s">
        <v>42</v>
      </c>
      <c r="AF55" t="s">
        <v>42</v>
      </c>
      <c r="AG55" t="s">
        <v>42</v>
      </c>
      <c r="AH55" t="s">
        <v>42</v>
      </c>
      <c r="AI55" s="27" t="s">
        <v>110</v>
      </c>
      <c r="AJ55" s="113" t="s">
        <v>63</v>
      </c>
      <c r="AK55" s="38" t="s">
        <v>45</v>
      </c>
    </row>
    <row r="56" spans="1:39">
      <c r="A56" s="41" t="s">
        <v>372</v>
      </c>
      <c r="B56" s="42" t="s">
        <v>373</v>
      </c>
      <c r="C56" s="27" t="s">
        <v>297</v>
      </c>
      <c r="D56" s="27" t="s">
        <v>33</v>
      </c>
      <c r="F56" s="122" t="s">
        <v>374</v>
      </c>
      <c r="G56" t="s">
        <v>375</v>
      </c>
      <c r="H56" s="27" t="s">
        <v>37</v>
      </c>
      <c r="I56" s="27">
        <v>3789</v>
      </c>
      <c r="J56"/>
      <c r="K56"/>
      <c r="L56"/>
      <c r="M56" s="123" t="s">
        <v>376</v>
      </c>
      <c r="N56" s="27" t="s">
        <v>38</v>
      </c>
      <c r="P56" s="122" t="s">
        <v>374</v>
      </c>
      <c r="Q56" s="27" t="s">
        <v>377</v>
      </c>
      <c r="R56" s="27">
        <v>3789</v>
      </c>
      <c r="S56" s="27">
        <v>390365</v>
      </c>
      <c r="U56" s="27" t="s">
        <v>378</v>
      </c>
      <c r="V56" t="s">
        <v>375</v>
      </c>
      <c r="W56"/>
      <c r="X56" s="27" t="s">
        <v>37</v>
      </c>
      <c r="Y56" s="27" t="s">
        <v>216</v>
      </c>
      <c r="Z56">
        <v>0.717</v>
      </c>
      <c r="AA56">
        <v>0.451</v>
      </c>
      <c r="AB56">
        <v>0</v>
      </c>
      <c r="AC56" s="123" t="s">
        <v>376</v>
      </c>
      <c r="AD56">
        <v>19</v>
      </c>
      <c r="AE56" t="s">
        <v>42</v>
      </c>
      <c r="AF56" t="s">
        <v>42</v>
      </c>
      <c r="AG56" t="s">
        <v>42</v>
      </c>
      <c r="AH56" t="s">
        <v>42</v>
      </c>
      <c r="AI56" s="27" t="s">
        <v>110</v>
      </c>
      <c r="AJ56" s="113" t="s">
        <v>52</v>
      </c>
      <c r="AK56" s="38" t="s">
        <v>45</v>
      </c>
    </row>
    <row r="57" s="48" customFormat="1" spans="1:39">
      <c r="A57" s="34" t="s">
        <v>379</v>
      </c>
      <c r="B57" s="45" t="s">
        <v>380</v>
      </c>
      <c r="C57" s="34" t="s">
        <v>297</v>
      </c>
      <c r="D57" s="34" t="s">
        <v>33</v>
      </c>
      <c r="E57" s="34"/>
      <c r="F57" s="127" t="s">
        <v>381</v>
      </c>
      <c r="H57" s="34" t="s">
        <v>37</v>
      </c>
      <c r="I57" s="34">
        <v>1131</v>
      </c>
      <c r="M57" s="48">
        <v>0.0966</v>
      </c>
      <c r="N57" s="34" t="s">
        <v>38</v>
      </c>
      <c r="O57" s="34"/>
      <c r="P57" s="127" t="s">
        <v>381</v>
      </c>
      <c r="Q57" s="34" t="s">
        <v>382</v>
      </c>
      <c r="R57" s="34">
        <v>1131</v>
      </c>
      <c r="S57" s="47">
        <v>1422295</v>
      </c>
      <c r="T57" s="47"/>
      <c r="U57" s="47" t="s">
        <v>383</v>
      </c>
      <c r="W57" s="48">
        <v>1</v>
      </c>
      <c r="X57" s="34" t="s">
        <v>37</v>
      </c>
      <c r="Y57" s="34" t="s">
        <v>216</v>
      </c>
      <c r="Z57" s="48">
        <v>0.966</v>
      </c>
      <c r="AA57" s="48">
        <v>0.215</v>
      </c>
      <c r="AB57" s="48">
        <v>49</v>
      </c>
      <c r="AC57" s="48">
        <v>0.0966</v>
      </c>
      <c r="AD57" s="48" t="s">
        <v>42</v>
      </c>
      <c r="AE57" s="48">
        <v>0</v>
      </c>
      <c r="AF57" s="48">
        <v>270</v>
      </c>
      <c r="AG57" s="48">
        <v>1</v>
      </c>
      <c r="AH57" s="48">
        <v>658</v>
      </c>
      <c r="AI57" s="34" t="s">
        <v>110</v>
      </c>
      <c r="AJ57" s="113" t="s">
        <v>44</v>
      </c>
      <c r="AK57" s="49" t="s">
        <v>45</v>
      </c>
    </row>
    <row r="58" ht="16" spans="1:39">
      <c r="A58" s="41" t="s">
        <v>384</v>
      </c>
      <c r="B58" s="42" t="s">
        <v>385</v>
      </c>
      <c r="C58" s="27" t="s">
        <v>297</v>
      </c>
      <c r="D58" s="27" t="s">
        <v>33</v>
      </c>
      <c r="F58" s="122" t="s">
        <v>386</v>
      </c>
      <c r="G58" t="s">
        <v>387</v>
      </c>
      <c r="H58" s="27" t="s">
        <v>37</v>
      </c>
      <c r="I58" s="27">
        <v>941</v>
      </c>
      <c r="J58"/>
      <c r="K58"/>
      <c r="L58"/>
      <c r="M58">
        <v>0.0119</v>
      </c>
      <c r="N58" s="27" t="s">
        <v>38</v>
      </c>
      <c r="P58" s="122" t="s">
        <v>386</v>
      </c>
      <c r="Q58" s="27" t="s">
        <v>388</v>
      </c>
      <c r="R58" s="27">
        <v>941</v>
      </c>
      <c r="S58" s="27">
        <v>375027</v>
      </c>
      <c r="U58" s="27" t="s">
        <v>389</v>
      </c>
      <c r="V58" t="s">
        <v>387</v>
      </c>
      <c r="W58"/>
      <c r="X58" s="27" t="s">
        <v>37</v>
      </c>
      <c r="Y58" s="27" t="s">
        <v>216</v>
      </c>
      <c r="Z58">
        <v>0.632</v>
      </c>
      <c r="AA58">
        <v>0.998</v>
      </c>
      <c r="AB58">
        <v>0</v>
      </c>
      <c r="AC58">
        <v>0.0119</v>
      </c>
      <c r="AD58">
        <v>14</v>
      </c>
      <c r="AE58" t="s">
        <v>42</v>
      </c>
      <c r="AF58" t="s">
        <v>42</v>
      </c>
      <c r="AG58" t="s">
        <v>42</v>
      </c>
      <c r="AH58" t="s">
        <v>42</v>
      </c>
      <c r="AI58" s="27" t="s">
        <v>110</v>
      </c>
      <c r="AJ58" s="113" t="s">
        <v>63</v>
      </c>
      <c r="AK58" s="38" t="s">
        <v>45</v>
      </c>
    </row>
    <row r="59" spans="1:39">
      <c r="A59" s="41" t="s">
        <v>390</v>
      </c>
      <c r="B59" s="42" t="s">
        <v>391</v>
      </c>
      <c r="C59" s="27" t="s">
        <v>297</v>
      </c>
      <c r="D59" s="27" t="s">
        <v>33</v>
      </c>
      <c r="F59" s="122" t="s">
        <v>392</v>
      </c>
      <c r="G59" t="s">
        <v>393</v>
      </c>
      <c r="H59" s="27" t="s">
        <v>37</v>
      </c>
      <c r="I59" s="27">
        <v>1679</v>
      </c>
      <c r="J59"/>
      <c r="K59"/>
      <c r="L59"/>
      <c r="M59">
        <v>0.00727</v>
      </c>
      <c r="N59" s="27" t="s">
        <v>38</v>
      </c>
      <c r="P59" s="122" t="s">
        <v>392</v>
      </c>
      <c r="Q59" s="27" t="s">
        <v>394</v>
      </c>
      <c r="R59" s="27">
        <v>1679</v>
      </c>
      <c r="S59" s="27">
        <v>7786537</v>
      </c>
      <c r="U59" s="27" t="s">
        <v>395</v>
      </c>
      <c r="V59" t="s">
        <v>393</v>
      </c>
      <c r="W59"/>
      <c r="X59" s="27" t="s">
        <v>37</v>
      </c>
      <c r="Y59" s="27" t="s">
        <v>216</v>
      </c>
      <c r="Z59">
        <v>0.142</v>
      </c>
      <c r="AA59">
        <v>0.782</v>
      </c>
      <c r="AB59">
        <v>0</v>
      </c>
      <c r="AC59">
        <v>0.00727</v>
      </c>
      <c r="AD59">
        <v>0</v>
      </c>
      <c r="AE59" t="s">
        <v>42</v>
      </c>
      <c r="AF59" t="s">
        <v>42</v>
      </c>
      <c r="AG59" t="s">
        <v>42</v>
      </c>
      <c r="AH59" t="s">
        <v>42</v>
      </c>
      <c r="AI59" s="27" t="s">
        <v>110</v>
      </c>
      <c r="AJ59" s="113" t="s">
        <v>63</v>
      </c>
      <c r="AK59" s="38" t="s">
        <v>45</v>
      </c>
    </row>
    <row r="60" spans="1:39">
      <c r="A60" s="41" t="s">
        <v>396</v>
      </c>
      <c r="B60" s="42" t="s">
        <v>397</v>
      </c>
      <c r="C60" s="27" t="s">
        <v>398</v>
      </c>
      <c r="D60" s="27" t="s">
        <v>33</v>
      </c>
      <c r="F60" s="122" t="s">
        <v>399</v>
      </c>
      <c r="G60" t="s">
        <v>400</v>
      </c>
      <c r="H60" s="27" t="s">
        <v>37</v>
      </c>
      <c r="I60" s="27">
        <v>20161</v>
      </c>
      <c r="J60"/>
      <c r="K60"/>
      <c r="L60"/>
      <c r="M60">
        <v>0.000263</v>
      </c>
      <c r="N60" s="27" t="s">
        <v>38</v>
      </c>
      <c r="P60" s="122" t="s">
        <v>399</v>
      </c>
      <c r="Q60" s="27" t="s">
        <v>401</v>
      </c>
      <c r="R60" s="27">
        <v>20161</v>
      </c>
      <c r="S60" s="27">
        <v>104711</v>
      </c>
      <c r="U60" s="27" t="s">
        <v>402</v>
      </c>
      <c r="V60" t="s">
        <v>400</v>
      </c>
      <c r="W60"/>
      <c r="X60" s="27" t="s">
        <v>37</v>
      </c>
      <c r="Y60" s="27" t="s">
        <v>216</v>
      </c>
      <c r="Z60">
        <v>0.456</v>
      </c>
      <c r="AA60">
        <v>0.43</v>
      </c>
      <c r="AB60">
        <v>7.5</v>
      </c>
      <c r="AC60">
        <v>0.000263</v>
      </c>
      <c r="AD60">
        <v>64</v>
      </c>
      <c r="AE60" t="s">
        <v>42</v>
      </c>
      <c r="AF60" t="s">
        <v>42</v>
      </c>
      <c r="AG60" t="s">
        <v>42</v>
      </c>
      <c r="AH60" t="s">
        <v>42</v>
      </c>
      <c r="AI60" s="27" t="s">
        <v>110</v>
      </c>
      <c r="AJ60" s="113" t="s">
        <v>52</v>
      </c>
      <c r="AK60" s="38" t="s">
        <v>45</v>
      </c>
    </row>
    <row r="61" spans="1:39">
      <c r="A61" s="41" t="s">
        <v>403</v>
      </c>
      <c r="B61" s="42" t="s">
        <v>404</v>
      </c>
      <c r="C61" s="27" t="s">
        <v>405</v>
      </c>
      <c r="D61" s="27" t="s">
        <v>33</v>
      </c>
      <c r="F61" s="122" t="s">
        <v>406</v>
      </c>
      <c r="G61" t="s">
        <v>407</v>
      </c>
      <c r="H61" s="27" t="s">
        <v>79</v>
      </c>
      <c r="I61" s="27">
        <v>13483</v>
      </c>
      <c r="J61"/>
      <c r="K61"/>
      <c r="L61"/>
      <c r="M61" s="123" t="s">
        <v>408</v>
      </c>
      <c r="N61" s="27" t="s">
        <v>38</v>
      </c>
      <c r="P61" s="122" t="s">
        <v>406</v>
      </c>
      <c r="Q61" s="27" t="s">
        <v>409</v>
      </c>
      <c r="R61" s="27">
        <v>13483</v>
      </c>
      <c r="S61" s="27">
        <v>28097227</v>
      </c>
      <c r="U61" s="27" t="s">
        <v>410</v>
      </c>
      <c r="V61" t="s">
        <v>407</v>
      </c>
      <c r="W61"/>
      <c r="X61" s="27" t="s">
        <v>79</v>
      </c>
      <c r="Y61" s="27" t="s">
        <v>216</v>
      </c>
      <c r="Z61">
        <v>0.471</v>
      </c>
      <c r="AA61">
        <v>0.451</v>
      </c>
      <c r="AB61">
        <v>67.2</v>
      </c>
      <c r="AC61" s="123" t="s">
        <v>408</v>
      </c>
      <c r="AD61">
        <v>887</v>
      </c>
      <c r="AE61" t="s">
        <v>42</v>
      </c>
      <c r="AF61" t="s">
        <v>42</v>
      </c>
      <c r="AG61" t="s">
        <v>42</v>
      </c>
      <c r="AH61" t="s">
        <v>42</v>
      </c>
      <c r="AI61" s="27" t="s">
        <v>83</v>
      </c>
      <c r="AJ61" s="113" t="s">
        <v>111</v>
      </c>
      <c r="AK61" s="38" t="s">
        <v>45</v>
      </c>
    </row>
    <row r="62" spans="1:39">
      <c r="A62" s="41" t="s">
        <v>411</v>
      </c>
      <c r="B62" s="42" t="s">
        <v>412</v>
      </c>
      <c r="C62" s="27" t="s">
        <v>297</v>
      </c>
      <c r="D62" s="27" t="s">
        <v>33</v>
      </c>
      <c r="F62" s="122" t="s">
        <v>413</v>
      </c>
      <c r="G62" s="40" t="s">
        <v>414</v>
      </c>
      <c r="H62" s="27" t="s">
        <v>37</v>
      </c>
      <c r="I62" s="27">
        <v>24081</v>
      </c>
      <c r="J62" s="40"/>
      <c r="K62" s="40"/>
      <c r="L62" s="40"/>
      <c r="M62" s="40">
        <v>0.224</v>
      </c>
      <c r="N62" s="27" t="s">
        <v>38</v>
      </c>
      <c r="P62" s="122" t="s">
        <v>413</v>
      </c>
      <c r="Q62" s="27" t="s">
        <v>415</v>
      </c>
      <c r="R62" s="27">
        <v>24081</v>
      </c>
      <c r="S62" s="27">
        <v>8260459</v>
      </c>
      <c r="U62" s="27" t="s">
        <v>416</v>
      </c>
      <c r="V62" s="40" t="s">
        <v>414</v>
      </c>
      <c r="W62" s="40"/>
      <c r="X62" s="27" t="s">
        <v>37</v>
      </c>
      <c r="Y62" s="27" t="s">
        <v>216</v>
      </c>
      <c r="Z62" s="40">
        <v>0.0475</v>
      </c>
      <c r="AA62" s="40">
        <v>0.26</v>
      </c>
      <c r="AB62" s="40">
        <v>64.7</v>
      </c>
      <c r="AC62" s="40">
        <v>0.224</v>
      </c>
      <c r="AD62" t="s">
        <v>42</v>
      </c>
      <c r="AE62" s="40">
        <v>49</v>
      </c>
      <c r="AF62" s="40">
        <v>73</v>
      </c>
      <c r="AG62" s="40">
        <v>128</v>
      </c>
      <c r="AH62" s="40">
        <v>100</v>
      </c>
      <c r="AI62" s="27" t="s">
        <v>110</v>
      </c>
      <c r="AJ62" s="113" t="s">
        <v>44</v>
      </c>
      <c r="AK62" s="38" t="s">
        <v>45</v>
      </c>
    </row>
    <row r="63" s="48" customFormat="1" spans="1:39">
      <c r="A63" s="34" t="s">
        <v>417</v>
      </c>
      <c r="B63" s="50" t="s">
        <v>412</v>
      </c>
      <c r="C63" s="34" t="s">
        <v>418</v>
      </c>
      <c r="D63" s="34" t="s">
        <v>55</v>
      </c>
      <c r="E63" s="34"/>
      <c r="F63" s="34" t="s">
        <v>419</v>
      </c>
      <c r="G63" s="7"/>
      <c r="H63" s="34" t="s">
        <v>37</v>
      </c>
      <c r="I63" s="34" t="s">
        <v>208</v>
      </c>
      <c r="J63" s="7"/>
      <c r="K63" s="7"/>
      <c r="L63" s="7"/>
      <c r="M63" s="7">
        <v>0.0553</v>
      </c>
      <c r="N63" s="34" t="s">
        <v>59</v>
      </c>
      <c r="O63" s="34"/>
      <c r="P63" s="34" t="s">
        <v>419</v>
      </c>
      <c r="Q63" s="34" t="s">
        <v>420</v>
      </c>
      <c r="R63" s="34" t="s">
        <v>208</v>
      </c>
      <c r="S63" s="51">
        <v>28798</v>
      </c>
      <c r="T63" s="51"/>
      <c r="U63" s="51" t="s">
        <v>421</v>
      </c>
      <c r="V63" s="7"/>
      <c r="W63" s="7">
        <v>1</v>
      </c>
      <c r="X63" s="34" t="s">
        <v>37</v>
      </c>
      <c r="Y63" s="34" t="s">
        <v>216</v>
      </c>
      <c r="Z63" s="7">
        <v>0.0367</v>
      </c>
      <c r="AA63" s="7">
        <v>0.293</v>
      </c>
      <c r="AB63" s="7">
        <v>70.6</v>
      </c>
      <c r="AC63" s="7">
        <v>0.0553</v>
      </c>
      <c r="AD63" s="48" t="s">
        <v>42</v>
      </c>
      <c r="AE63" s="7">
        <v>0</v>
      </c>
      <c r="AF63" s="7">
        <v>0</v>
      </c>
      <c r="AG63" s="7">
        <v>1</v>
      </c>
      <c r="AH63" s="7">
        <v>1</v>
      </c>
      <c r="AI63" s="34" t="s">
        <v>110</v>
      </c>
      <c r="AJ63" s="113" t="s">
        <v>44</v>
      </c>
      <c r="AK63" s="49" t="s">
        <v>45</v>
      </c>
    </row>
    <row r="64" spans="1:39">
      <c r="A64" s="27" t="s">
        <v>422</v>
      </c>
      <c r="B64" s="27" t="s">
        <v>423</v>
      </c>
      <c r="C64" s="27" t="s">
        <v>424</v>
      </c>
      <c r="D64" s="27" t="s">
        <v>33</v>
      </c>
      <c r="F64" s="122" t="s">
        <v>425</v>
      </c>
      <c r="G64" s="40" t="s">
        <v>426</v>
      </c>
      <c r="H64" s="27" t="s">
        <v>79</v>
      </c>
      <c r="I64" s="27">
        <v>1708105</v>
      </c>
      <c r="M64" s="27">
        <v>0.626</v>
      </c>
      <c r="N64" s="27" t="s">
        <v>38</v>
      </c>
      <c r="P64" s="122" t="s">
        <v>425</v>
      </c>
      <c r="Q64" s="27" t="s">
        <v>427</v>
      </c>
      <c r="R64" s="27">
        <v>1708105</v>
      </c>
      <c r="S64" s="27">
        <v>16633521</v>
      </c>
      <c r="U64" s="27" t="s">
        <v>428</v>
      </c>
      <c r="V64" s="40" t="s">
        <v>426</v>
      </c>
      <c r="X64" s="27" t="s">
        <v>79</v>
      </c>
      <c r="Y64" s="27" t="s">
        <v>341</v>
      </c>
      <c r="Z64" s="27">
        <v>0.364</v>
      </c>
      <c r="AA64" s="27">
        <v>0.828</v>
      </c>
      <c r="AB64" s="27">
        <v>76</v>
      </c>
      <c r="AC64" s="27">
        <v>0.626</v>
      </c>
      <c r="AD64" s="27"/>
      <c r="AE64" s="27">
        <v>598</v>
      </c>
      <c r="AF64" s="27">
        <v>198</v>
      </c>
      <c r="AG64" s="27">
        <v>1253</v>
      </c>
      <c r="AH64" s="27">
        <v>399</v>
      </c>
      <c r="AI64" s="27" t="s">
        <v>146</v>
      </c>
      <c r="AJ64" s="113" t="s">
        <v>44</v>
      </c>
      <c r="AK64" s="38" t="s">
        <v>45</v>
      </c>
      <c r="AL64" s="27"/>
      <c r="AM64" s="27"/>
    </row>
    <row r="65" spans="1:39">
      <c r="A65" s="27" t="s">
        <v>429</v>
      </c>
      <c r="B65" s="27" t="s">
        <v>423</v>
      </c>
      <c r="C65" s="27" t="s">
        <v>424</v>
      </c>
      <c r="D65" s="27" t="s">
        <v>55</v>
      </c>
      <c r="F65" s="122" t="s">
        <v>430</v>
      </c>
      <c r="G65" s="40" t="s">
        <v>431</v>
      </c>
      <c r="H65" s="27" t="s">
        <v>79</v>
      </c>
      <c r="I65" s="27">
        <v>18915</v>
      </c>
      <c r="J65" s="40"/>
      <c r="K65" s="40"/>
      <c r="L65" s="40"/>
      <c r="M65" s="40">
        <v>0.364</v>
      </c>
      <c r="N65" s="27" t="s">
        <v>59</v>
      </c>
      <c r="P65" s="122" t="s">
        <v>430</v>
      </c>
      <c r="Q65" s="27" t="s">
        <v>432</v>
      </c>
      <c r="R65" s="27">
        <v>18915</v>
      </c>
      <c r="S65" s="27">
        <v>101475</v>
      </c>
      <c r="U65" s="27" t="s">
        <v>433</v>
      </c>
      <c r="V65" s="40" t="s">
        <v>431</v>
      </c>
      <c r="W65" s="40"/>
      <c r="X65" s="27" t="s">
        <v>79</v>
      </c>
      <c r="Y65" s="27" t="s">
        <v>341</v>
      </c>
      <c r="Z65" s="40">
        <v>0.0521</v>
      </c>
      <c r="AA65" s="40">
        <v>0.792</v>
      </c>
      <c r="AB65" s="27">
        <v>74.3</v>
      </c>
      <c r="AC65" s="40">
        <v>0.364</v>
      </c>
      <c r="AD65" s="27"/>
      <c r="AE65" s="40">
        <v>31</v>
      </c>
      <c r="AF65" s="40">
        <v>28</v>
      </c>
      <c r="AG65" s="40">
        <v>71</v>
      </c>
      <c r="AH65" s="40">
        <v>40</v>
      </c>
      <c r="AI65" s="27" t="s">
        <v>146</v>
      </c>
      <c r="AJ65" s="113" t="s">
        <v>44</v>
      </c>
      <c r="AK65" s="38" t="s">
        <v>45</v>
      </c>
      <c r="AL65" s="27"/>
      <c r="AM65" s="27"/>
    </row>
    <row r="66" ht="16" customHeight="1" spans="1:39">
      <c r="B66" s="29" t="s">
        <v>434</v>
      </c>
      <c r="N66" s="110"/>
      <c r="AD66" s="27"/>
      <c r="AE66" s="27"/>
      <c r="AF66" s="27"/>
      <c r="AG66" s="27"/>
      <c r="AH66" s="27"/>
      <c r="AK66" s="106"/>
    </row>
    <row r="67" spans="1:39">
      <c r="A67" s="33" t="s">
        <v>435</v>
      </c>
      <c r="B67" s="27" t="s">
        <v>436</v>
      </c>
      <c r="C67" s="43" t="s">
        <v>437</v>
      </c>
      <c r="D67" s="27" t="s">
        <v>438</v>
      </c>
      <c r="E67" s="27" t="s">
        <v>67</v>
      </c>
      <c r="F67" s="27" t="s">
        <v>439</v>
      </c>
      <c r="G67" t="s">
        <v>440</v>
      </c>
      <c r="H67" s="27" t="s">
        <v>37</v>
      </c>
      <c r="I67" s="27">
        <v>58270</v>
      </c>
      <c r="J67"/>
      <c r="K67"/>
      <c r="L67"/>
      <c r="M67" s="123" t="s">
        <v>441</v>
      </c>
      <c r="N67" s="27" t="s">
        <v>442</v>
      </c>
      <c r="O67" s="27" t="s">
        <v>67</v>
      </c>
      <c r="P67" s="27" t="s">
        <v>439</v>
      </c>
      <c r="Q67" s="27" t="s">
        <v>443</v>
      </c>
      <c r="R67" s="27">
        <v>58270</v>
      </c>
      <c r="S67" s="27">
        <v>1930354</v>
      </c>
      <c r="U67" s="27" t="s">
        <v>444</v>
      </c>
      <c r="V67" t="s">
        <v>440</v>
      </c>
      <c r="W67"/>
      <c r="X67" s="27" t="s">
        <v>37</v>
      </c>
      <c r="Y67" s="27" t="s">
        <v>41</v>
      </c>
      <c r="Z67" s="123" t="s">
        <v>445</v>
      </c>
      <c r="AA67" s="36">
        <v>0.281</v>
      </c>
      <c r="AB67">
        <v>73.4</v>
      </c>
      <c r="AC67" s="123" t="s">
        <v>441</v>
      </c>
      <c r="AD67">
        <v>2262</v>
      </c>
      <c r="AE67" t="s">
        <v>42</v>
      </c>
      <c r="AF67" t="s">
        <v>42</v>
      </c>
      <c r="AG67" t="s">
        <v>42</v>
      </c>
      <c r="AH67" t="s">
        <v>42</v>
      </c>
      <c r="AI67" s="27" t="s">
        <v>62</v>
      </c>
      <c r="AJ67" s="113" t="s">
        <v>111</v>
      </c>
      <c r="AK67" s="49" t="s">
        <v>45</v>
      </c>
    </row>
    <row r="68" spans="1:39">
      <c r="A68" s="33" t="s">
        <v>446</v>
      </c>
      <c r="B68" s="27" t="s">
        <v>436</v>
      </c>
      <c r="C68" s="43" t="s">
        <v>437</v>
      </c>
      <c r="D68" s="27" t="s">
        <v>438</v>
      </c>
      <c r="E68" s="27" t="s">
        <v>447</v>
      </c>
      <c r="F68" s="124" t="s">
        <v>448</v>
      </c>
      <c r="G68" s="40" t="s">
        <v>449</v>
      </c>
      <c r="H68" s="27" t="s">
        <v>37</v>
      </c>
      <c r="I68" s="27">
        <v>14386</v>
      </c>
      <c r="J68" s="40"/>
      <c r="K68" s="40"/>
      <c r="L68" s="40"/>
      <c r="M68" s="40">
        <v>0.0166</v>
      </c>
      <c r="N68" s="27" t="s">
        <v>442</v>
      </c>
      <c r="O68" s="27" t="s">
        <v>447</v>
      </c>
      <c r="P68" s="124" t="s">
        <v>448</v>
      </c>
      <c r="Q68" s="27" t="s">
        <v>450</v>
      </c>
      <c r="R68" s="27">
        <v>14386</v>
      </c>
      <c r="S68" s="27">
        <v>692667</v>
      </c>
      <c r="U68" s="27" t="s">
        <v>451</v>
      </c>
      <c r="V68" s="40" t="s">
        <v>449</v>
      </c>
      <c r="W68" s="40"/>
      <c r="X68" s="27" t="s">
        <v>37</v>
      </c>
      <c r="Y68" s="27" t="s">
        <v>41</v>
      </c>
      <c r="Z68" s="40">
        <v>0.0016</v>
      </c>
      <c r="AA68" s="40">
        <v>0.773</v>
      </c>
      <c r="AB68" s="40">
        <v>69</v>
      </c>
      <c r="AC68" s="40">
        <v>0.0166</v>
      </c>
      <c r="AD68">
        <v>74</v>
      </c>
      <c r="AE68" t="s">
        <v>42</v>
      </c>
      <c r="AF68" t="s">
        <v>42</v>
      </c>
      <c r="AG68" t="s">
        <v>42</v>
      </c>
      <c r="AH68" t="s">
        <v>42</v>
      </c>
      <c r="AI68" s="27" t="s">
        <v>62</v>
      </c>
      <c r="AJ68" s="113" t="s">
        <v>63</v>
      </c>
      <c r="AK68" s="49" t="s">
        <v>45</v>
      </c>
    </row>
    <row r="69" s="48" customFormat="1" spans="1:39">
      <c r="A69" s="34" t="s">
        <v>452</v>
      </c>
      <c r="B69" s="47" t="s">
        <v>436</v>
      </c>
      <c r="C69" s="52" t="s">
        <v>437</v>
      </c>
      <c r="D69" s="34" t="s">
        <v>438</v>
      </c>
      <c r="E69" s="34" t="s">
        <v>453</v>
      </c>
      <c r="F69" s="127" t="s">
        <v>454</v>
      </c>
      <c r="G69" s="7" t="s">
        <v>455</v>
      </c>
      <c r="H69" s="34" t="s">
        <v>37</v>
      </c>
      <c r="I69" s="34">
        <v>12113</v>
      </c>
      <c r="J69" s="7"/>
      <c r="K69" s="7"/>
      <c r="L69" s="7"/>
      <c r="M69" s="7">
        <v>0.0645</v>
      </c>
      <c r="N69" s="34" t="s">
        <v>442</v>
      </c>
      <c r="O69" s="34" t="s">
        <v>453</v>
      </c>
      <c r="P69" s="127" t="s">
        <v>454</v>
      </c>
      <c r="Q69" s="34" t="s">
        <v>456</v>
      </c>
      <c r="R69" s="34">
        <v>12113</v>
      </c>
      <c r="S69" s="47">
        <v>724637</v>
      </c>
      <c r="T69" s="47"/>
      <c r="U69" s="47" t="s">
        <v>455</v>
      </c>
      <c r="V69" s="7" t="s">
        <v>455</v>
      </c>
      <c r="W69" s="7">
        <v>1</v>
      </c>
      <c r="X69" s="34" t="s">
        <v>37</v>
      </c>
      <c r="Y69" s="34" t="s">
        <v>41</v>
      </c>
      <c r="Z69" s="7">
        <v>0.0163</v>
      </c>
      <c r="AA69" s="7">
        <v>0.828</v>
      </c>
      <c r="AB69" s="7">
        <v>96.2</v>
      </c>
      <c r="AC69" s="7">
        <v>0.0645</v>
      </c>
      <c r="AD69" s="48" t="s">
        <v>42</v>
      </c>
      <c r="AE69" s="48">
        <v>0</v>
      </c>
      <c r="AF69" s="48" t="s">
        <v>159</v>
      </c>
      <c r="AG69" s="48">
        <v>1</v>
      </c>
      <c r="AH69" s="48">
        <v>1</v>
      </c>
      <c r="AI69" s="34" t="s">
        <v>62</v>
      </c>
      <c r="AJ69" s="113" t="s">
        <v>44</v>
      </c>
      <c r="AK69" s="49" t="s">
        <v>45</v>
      </c>
    </row>
    <row r="70" spans="1:39">
      <c r="A70" s="33" t="s">
        <v>457</v>
      </c>
      <c r="B70" s="27" t="s">
        <v>436</v>
      </c>
      <c r="C70" s="43" t="s">
        <v>437</v>
      </c>
      <c r="D70" s="27" t="s">
        <v>438</v>
      </c>
      <c r="E70" s="27" t="s">
        <v>458</v>
      </c>
      <c r="F70" s="122" t="s">
        <v>459</v>
      </c>
      <c r="G70" s="40" t="s">
        <v>460</v>
      </c>
      <c r="H70" s="27" t="s">
        <v>37</v>
      </c>
      <c r="I70" s="27">
        <v>2834</v>
      </c>
      <c r="J70" s="40"/>
      <c r="K70" s="40"/>
      <c r="L70" s="40"/>
      <c r="M70" s="40">
        <v>0.00597</v>
      </c>
      <c r="N70" s="27" t="s">
        <v>442</v>
      </c>
      <c r="O70" s="27" t="s">
        <v>458</v>
      </c>
      <c r="P70" s="122" t="s">
        <v>459</v>
      </c>
      <c r="Q70" s="27" t="s">
        <v>461</v>
      </c>
      <c r="R70" s="27">
        <v>2834</v>
      </c>
      <c r="S70" s="27">
        <v>186012</v>
      </c>
      <c r="U70" s="27" t="s">
        <v>462</v>
      </c>
      <c r="V70" s="40" t="s">
        <v>460</v>
      </c>
      <c r="W70" s="40"/>
      <c r="X70" s="27" t="s">
        <v>37</v>
      </c>
      <c r="Y70" s="27" t="s">
        <v>41</v>
      </c>
      <c r="Z70" s="40">
        <v>0.57</v>
      </c>
      <c r="AA70" s="40">
        <v>0.543</v>
      </c>
      <c r="AB70" s="40">
        <v>45.5</v>
      </c>
      <c r="AC70" s="40">
        <v>0.00597</v>
      </c>
      <c r="AD70" s="40">
        <v>112</v>
      </c>
      <c r="AE70" t="s">
        <v>42</v>
      </c>
      <c r="AF70" t="s">
        <v>42</v>
      </c>
      <c r="AG70" t="s">
        <v>42</v>
      </c>
      <c r="AH70" t="s">
        <v>42</v>
      </c>
      <c r="AI70" s="27" t="s">
        <v>62</v>
      </c>
      <c r="AJ70" s="113" t="s">
        <v>63</v>
      </c>
      <c r="AK70" s="49" t="s">
        <v>146</v>
      </c>
    </row>
    <row r="71" ht="14.6" customHeight="1" spans="1:39">
      <c r="A71" s="33" t="s">
        <v>463</v>
      </c>
      <c r="B71" s="27" t="s">
        <v>436</v>
      </c>
      <c r="C71" s="43" t="s">
        <v>437</v>
      </c>
      <c r="D71" s="27" t="s">
        <v>438</v>
      </c>
      <c r="E71" s="27" t="s">
        <v>464</v>
      </c>
      <c r="F71" s="122" t="s">
        <v>465</v>
      </c>
      <c r="G71" s="121" t="s">
        <v>466</v>
      </c>
      <c r="H71" s="27" t="s">
        <v>37</v>
      </c>
      <c r="I71" s="27">
        <v>9274</v>
      </c>
      <c r="J71" s="40"/>
      <c r="K71" s="40"/>
      <c r="L71" s="40"/>
      <c r="M71" s="40">
        <v>0.149</v>
      </c>
      <c r="N71" s="27" t="s">
        <v>442</v>
      </c>
      <c r="O71" s="27" t="s">
        <v>464</v>
      </c>
      <c r="P71" s="122" t="s">
        <v>465</v>
      </c>
      <c r="Q71" s="27" t="s">
        <v>467</v>
      </c>
      <c r="R71" s="27">
        <v>9274</v>
      </c>
      <c r="S71" s="27">
        <v>621820</v>
      </c>
      <c r="U71" s="27" t="s">
        <v>468</v>
      </c>
      <c r="V71" s="121" t="s">
        <v>466</v>
      </c>
      <c r="W71" s="40"/>
      <c r="X71" s="27" t="s">
        <v>37</v>
      </c>
      <c r="Y71" s="27" t="s">
        <v>41</v>
      </c>
      <c r="Z71" s="40">
        <v>0.105</v>
      </c>
      <c r="AA71" s="40">
        <v>0.542</v>
      </c>
      <c r="AB71" s="40">
        <v>81.8</v>
      </c>
      <c r="AC71" s="40">
        <v>0.149</v>
      </c>
      <c r="AD71" t="s">
        <v>42</v>
      </c>
      <c r="AE71" s="40">
        <v>0</v>
      </c>
      <c r="AF71" s="40">
        <v>0</v>
      </c>
      <c r="AG71" s="40">
        <v>2</v>
      </c>
      <c r="AH71" s="40">
        <v>6</v>
      </c>
      <c r="AI71" s="27" t="s">
        <v>62</v>
      </c>
      <c r="AJ71" s="113" t="s">
        <v>44</v>
      </c>
      <c r="AK71" s="49" t="s">
        <v>45</v>
      </c>
    </row>
    <row r="72" ht="13.75" customHeight="1" spans="1:39">
      <c r="A72" s="33" t="s">
        <v>469</v>
      </c>
      <c r="B72" s="27" t="s">
        <v>436</v>
      </c>
      <c r="C72" s="43" t="s">
        <v>437</v>
      </c>
      <c r="D72" s="27" t="s">
        <v>438</v>
      </c>
      <c r="E72" s="27" t="s">
        <v>470</v>
      </c>
      <c r="F72" s="122" t="s">
        <v>471</v>
      </c>
      <c r="G72" t="s">
        <v>472</v>
      </c>
      <c r="H72" s="27" t="s">
        <v>37</v>
      </c>
      <c r="I72" s="27">
        <v>1366</v>
      </c>
      <c r="J72"/>
      <c r="K72"/>
      <c r="L72"/>
      <c r="M72">
        <v>0.00417</v>
      </c>
      <c r="N72" s="27" t="s">
        <v>442</v>
      </c>
      <c r="O72" s="27" t="s">
        <v>470</v>
      </c>
      <c r="P72" s="122" t="s">
        <v>471</v>
      </c>
      <c r="Q72" s="27" t="s">
        <v>473</v>
      </c>
      <c r="R72" s="27">
        <v>1366</v>
      </c>
      <c r="S72" s="27">
        <v>22615</v>
      </c>
      <c r="U72" s="27" t="s">
        <v>474</v>
      </c>
      <c r="V72" t="s">
        <v>472</v>
      </c>
      <c r="W72"/>
      <c r="X72" s="27" t="s">
        <v>37</v>
      </c>
      <c r="Y72" s="27" t="s">
        <v>41</v>
      </c>
      <c r="Z72">
        <v>0.219</v>
      </c>
      <c r="AA72" s="36">
        <v>0.838</v>
      </c>
      <c r="AB72">
        <v>0</v>
      </c>
      <c r="AC72">
        <v>0.00417</v>
      </c>
      <c r="AD72">
        <v>7</v>
      </c>
      <c r="AE72" t="s">
        <v>42</v>
      </c>
      <c r="AF72" t="s">
        <v>42</v>
      </c>
      <c r="AG72" t="s">
        <v>42</v>
      </c>
      <c r="AH72" t="s">
        <v>42</v>
      </c>
      <c r="AI72" s="27" t="s">
        <v>62</v>
      </c>
      <c r="AJ72" s="113" t="s">
        <v>63</v>
      </c>
      <c r="AK72" s="49" t="s">
        <v>62</v>
      </c>
    </row>
    <row r="73" spans="1:39">
      <c r="A73" s="41" t="s">
        <v>475</v>
      </c>
      <c r="B73" s="42" t="s">
        <v>476</v>
      </c>
      <c r="C73" s="43" t="s">
        <v>437</v>
      </c>
      <c r="D73" s="27" t="s">
        <v>438</v>
      </c>
      <c r="F73" s="27" t="s">
        <v>477</v>
      </c>
      <c r="G73" s="117" t="s">
        <v>478</v>
      </c>
      <c r="H73" s="27" t="s">
        <v>37</v>
      </c>
      <c r="I73" s="27" t="s">
        <v>479</v>
      </c>
      <c r="J73"/>
      <c r="K73"/>
      <c r="L73"/>
      <c r="M73" s="123" t="s">
        <v>480</v>
      </c>
      <c r="N73" s="27" t="s">
        <v>442</v>
      </c>
      <c r="P73" s="27" t="s">
        <v>477</v>
      </c>
      <c r="Q73" s="27" t="s">
        <v>481</v>
      </c>
      <c r="R73" s="27" t="s">
        <v>479</v>
      </c>
      <c r="S73" s="27">
        <v>1386934</v>
      </c>
      <c r="U73" s="27" t="s">
        <v>482</v>
      </c>
      <c r="V73" s="117" t="s">
        <v>478</v>
      </c>
      <c r="W73"/>
      <c r="X73" s="27" t="s">
        <v>37</v>
      </c>
      <c r="Y73" s="27" t="s">
        <v>216</v>
      </c>
      <c r="Z73" s="123" t="s">
        <v>483</v>
      </c>
      <c r="AA73">
        <v>0.251</v>
      </c>
      <c r="AB73">
        <v>78.3</v>
      </c>
      <c r="AC73" s="123" t="s">
        <v>480</v>
      </c>
      <c r="AD73">
        <v>798</v>
      </c>
      <c r="AE73" t="s">
        <v>42</v>
      </c>
      <c r="AF73" t="s">
        <v>42</v>
      </c>
      <c r="AG73" t="s">
        <v>42</v>
      </c>
      <c r="AH73" t="s">
        <v>42</v>
      </c>
      <c r="AI73" s="27" t="s">
        <v>62</v>
      </c>
      <c r="AJ73" s="113" t="s">
        <v>52</v>
      </c>
      <c r="AK73" s="38" t="s">
        <v>45</v>
      </c>
    </row>
    <row r="74" spans="1:39">
      <c r="A74" s="41" t="s">
        <v>484</v>
      </c>
      <c r="B74" s="42" t="s">
        <v>485</v>
      </c>
      <c r="C74" s="43" t="s">
        <v>486</v>
      </c>
      <c r="D74" s="27" t="s">
        <v>438</v>
      </c>
      <c r="F74" s="123" t="s">
        <v>487</v>
      </c>
      <c r="G74" s="40" t="s">
        <v>488</v>
      </c>
      <c r="H74" s="27" t="s">
        <v>79</v>
      </c>
      <c r="I74" s="27" t="s">
        <v>107</v>
      </c>
      <c r="J74" s="40"/>
      <c r="K74" s="40"/>
      <c r="L74" s="40"/>
      <c r="M74" s="40">
        <v>2.35e-7</v>
      </c>
      <c r="N74" s="27" t="s">
        <v>442</v>
      </c>
      <c r="P74" s="123" t="s">
        <v>487</v>
      </c>
      <c r="Q74" s="27" t="s">
        <v>489</v>
      </c>
      <c r="R74" s="27" t="s">
        <v>107</v>
      </c>
      <c r="S74" s="27">
        <v>1632805</v>
      </c>
      <c r="U74" s="27" t="s">
        <v>488</v>
      </c>
      <c r="V74" s="40" t="s">
        <v>488</v>
      </c>
      <c r="W74" s="40"/>
      <c r="X74" s="27" t="s">
        <v>79</v>
      </c>
      <c r="Y74" s="27" t="s">
        <v>216</v>
      </c>
      <c r="Z74" s="40">
        <v>9.85e-7</v>
      </c>
      <c r="AA74" s="40">
        <v>0.155</v>
      </c>
      <c r="AB74" s="40">
        <v>69.1</v>
      </c>
      <c r="AC74" s="40">
        <v>2.35e-7</v>
      </c>
      <c r="AD74" s="40">
        <v>1218</v>
      </c>
      <c r="AG74" t="s">
        <v>42</v>
      </c>
      <c r="AH74" t="s">
        <v>42</v>
      </c>
      <c r="AI74" s="27" t="s">
        <v>62</v>
      </c>
      <c r="AJ74" s="113" t="s">
        <v>111</v>
      </c>
      <c r="AK74" s="38" t="s">
        <v>45</v>
      </c>
    </row>
    <row r="75" spans="1:39">
      <c r="A75" s="41" t="s">
        <v>490</v>
      </c>
      <c r="B75" s="42" t="s">
        <v>491</v>
      </c>
      <c r="C75" s="43" t="s">
        <v>492</v>
      </c>
      <c r="D75" s="27" t="s">
        <v>438</v>
      </c>
      <c r="F75" s="27" t="s">
        <v>493</v>
      </c>
      <c r="G75" t="s">
        <v>494</v>
      </c>
      <c r="H75" s="27" t="s">
        <v>79</v>
      </c>
      <c r="I75" s="27">
        <v>7703</v>
      </c>
      <c r="J75"/>
      <c r="K75"/>
      <c r="L75"/>
      <c r="M75">
        <v>0.0316</v>
      </c>
      <c r="N75" s="27" t="s">
        <v>442</v>
      </c>
      <c r="P75" s="27" t="s">
        <v>493</v>
      </c>
      <c r="Q75" s="27" t="s">
        <v>495</v>
      </c>
      <c r="R75" s="27">
        <v>7703</v>
      </c>
      <c r="S75" s="27">
        <v>16480</v>
      </c>
      <c r="U75" s="27" t="s">
        <v>496</v>
      </c>
      <c r="V75" t="s">
        <v>494</v>
      </c>
      <c r="W75"/>
      <c r="X75" s="27" t="s">
        <v>79</v>
      </c>
      <c r="Y75" s="27" t="s">
        <v>216</v>
      </c>
      <c r="Z75">
        <v>0.475</v>
      </c>
      <c r="AA75">
        <v>0.695</v>
      </c>
      <c r="AB75">
        <v>35.7</v>
      </c>
      <c r="AC75">
        <v>0.0316</v>
      </c>
      <c r="AD75">
        <v>14</v>
      </c>
      <c r="AE75" t="s">
        <v>42</v>
      </c>
      <c r="AF75" t="s">
        <v>42</v>
      </c>
      <c r="AG75" t="s">
        <v>42</v>
      </c>
      <c r="AH75" t="s">
        <v>42</v>
      </c>
      <c r="AI75" s="27" t="s">
        <v>83</v>
      </c>
      <c r="AJ75" s="113" t="s">
        <v>63</v>
      </c>
      <c r="AK75" s="38" t="s">
        <v>45</v>
      </c>
    </row>
    <row r="76" spans="1:39">
      <c r="A76" s="27" t="s">
        <v>497</v>
      </c>
      <c r="B76" s="27" t="s">
        <v>498</v>
      </c>
      <c r="C76" s="27" t="s">
        <v>499</v>
      </c>
      <c r="D76" s="27" t="s">
        <v>500</v>
      </c>
      <c r="F76" s="122" t="s">
        <v>501</v>
      </c>
      <c r="G76" s="40" t="s">
        <v>502</v>
      </c>
      <c r="H76" s="27" t="s">
        <v>37</v>
      </c>
      <c r="I76" s="27" t="s">
        <v>503</v>
      </c>
      <c r="M76" s="27">
        <v>0.173</v>
      </c>
      <c r="N76" s="27" t="s">
        <v>504</v>
      </c>
      <c r="P76" s="122" t="s">
        <v>501</v>
      </c>
      <c r="Q76" s="27" t="s">
        <v>505</v>
      </c>
      <c r="R76" s="27" t="s">
        <v>503</v>
      </c>
      <c r="S76" s="27">
        <v>8846</v>
      </c>
      <c r="U76" s="27" t="s">
        <v>506</v>
      </c>
      <c r="V76" s="40" t="s">
        <v>502</v>
      </c>
      <c r="X76" s="27" t="s">
        <v>37</v>
      </c>
      <c r="Y76" s="27" t="s">
        <v>341</v>
      </c>
      <c r="Z76" s="40">
        <v>0.0881</v>
      </c>
      <c r="AA76" s="40">
        <v>0.52</v>
      </c>
      <c r="AB76" s="27">
        <v>0</v>
      </c>
      <c r="AC76" s="27">
        <v>0.173</v>
      </c>
      <c r="AD76" s="27"/>
      <c r="AE76" s="40">
        <v>1</v>
      </c>
      <c r="AF76" s="40">
        <v>1</v>
      </c>
      <c r="AG76" s="40">
        <v>3</v>
      </c>
      <c r="AH76" s="40">
        <v>2</v>
      </c>
      <c r="AI76" s="27" t="s">
        <v>62</v>
      </c>
      <c r="AJ76" s="113" t="s">
        <v>44</v>
      </c>
      <c r="AK76" s="38" t="s">
        <v>45</v>
      </c>
      <c r="AL76" s="27"/>
      <c r="AM76" s="27"/>
    </row>
    <row r="77" spans="1:39">
      <c r="A77" s="27" t="s">
        <v>507</v>
      </c>
      <c r="B77" s="27" t="s">
        <v>498</v>
      </c>
      <c r="C77" s="27" t="s">
        <v>499</v>
      </c>
      <c r="D77" s="27" t="s">
        <v>33</v>
      </c>
      <c r="F77" s="122" t="s">
        <v>386</v>
      </c>
      <c r="G77" s="40" t="s">
        <v>508</v>
      </c>
      <c r="H77" s="27" t="s">
        <v>37</v>
      </c>
      <c r="I77" s="27" t="s">
        <v>509</v>
      </c>
      <c r="J77" s="40"/>
      <c r="K77" s="40"/>
      <c r="L77" s="40"/>
      <c r="M77" s="40">
        <v>0.701</v>
      </c>
      <c r="N77" s="27" t="s">
        <v>38</v>
      </c>
      <c r="P77" s="122" t="s">
        <v>386</v>
      </c>
      <c r="Q77" s="27" t="s">
        <v>510</v>
      </c>
      <c r="R77" s="27" t="s">
        <v>509</v>
      </c>
      <c r="S77" s="27">
        <v>6847</v>
      </c>
      <c r="U77" s="27" t="s">
        <v>511</v>
      </c>
      <c r="V77" s="40" t="s">
        <v>508</v>
      </c>
      <c r="W77" s="40"/>
      <c r="X77" s="27" t="s">
        <v>37</v>
      </c>
      <c r="Y77" s="27" t="s">
        <v>341</v>
      </c>
      <c r="Z77" s="40">
        <v>0.218</v>
      </c>
      <c r="AA77" s="40">
        <v>1</v>
      </c>
      <c r="AB77" s="40">
        <v>45.8</v>
      </c>
      <c r="AC77" s="40">
        <v>0.701</v>
      </c>
      <c r="AD77" s="27"/>
      <c r="AE77" s="40">
        <v>87</v>
      </c>
      <c r="AF77" s="40">
        <v>354</v>
      </c>
      <c r="AG77" s="40">
        <v>181</v>
      </c>
      <c r="AH77" s="40">
        <v>698</v>
      </c>
      <c r="AI77" s="27" t="s">
        <v>62</v>
      </c>
      <c r="AJ77" s="113" t="s">
        <v>44</v>
      </c>
      <c r="AK77" s="38" t="s">
        <v>45</v>
      </c>
      <c r="AL77" s="27"/>
      <c r="AM77" s="27"/>
    </row>
    <row r="78" spans="1:39">
      <c r="A78" s="41" t="s">
        <v>512</v>
      </c>
      <c r="B78" s="42" t="s">
        <v>513</v>
      </c>
      <c r="C78" s="27" t="s">
        <v>514</v>
      </c>
      <c r="D78" s="27" t="s">
        <v>33</v>
      </c>
      <c r="F78" s="122" t="s">
        <v>515</v>
      </c>
      <c r="G78" t="s">
        <v>516</v>
      </c>
      <c r="H78" s="27" t="s">
        <v>517</v>
      </c>
      <c r="I78" s="27">
        <v>73448</v>
      </c>
      <c r="J78"/>
      <c r="K78"/>
      <c r="L78"/>
      <c r="M78">
        <v>0.0183</v>
      </c>
      <c r="N78" s="27" t="s">
        <v>38</v>
      </c>
      <c r="P78" s="122" t="s">
        <v>515</v>
      </c>
      <c r="Q78" s="27">
        <v>73448</v>
      </c>
      <c r="R78" s="27">
        <v>73448</v>
      </c>
      <c r="U78" s="27" t="s">
        <v>518</v>
      </c>
      <c r="V78" t="s">
        <v>516</v>
      </c>
      <c r="W78"/>
      <c r="X78" s="27" t="s">
        <v>517</v>
      </c>
      <c r="Y78" s="27" t="s">
        <v>216</v>
      </c>
      <c r="Z78">
        <v>0.0756</v>
      </c>
      <c r="AA78">
        <v>0.119</v>
      </c>
      <c r="AB78">
        <v>0</v>
      </c>
      <c r="AC78">
        <v>0.0183</v>
      </c>
      <c r="AD78">
        <v>44</v>
      </c>
      <c r="AE78" t="s">
        <v>42</v>
      </c>
      <c r="AF78" t="s">
        <v>42</v>
      </c>
      <c r="AG78" t="s">
        <v>42</v>
      </c>
      <c r="AH78" t="s">
        <v>42</v>
      </c>
      <c r="AI78" s="27" t="s">
        <v>83</v>
      </c>
      <c r="AJ78" s="113" t="s">
        <v>63</v>
      </c>
      <c r="AK78" s="38" t="s">
        <v>45</v>
      </c>
    </row>
    <row r="79" spans="1:39">
      <c r="A79" s="41" t="s">
        <v>519</v>
      </c>
      <c r="B79" s="42" t="s">
        <v>513</v>
      </c>
      <c r="C79" s="27" t="s">
        <v>499</v>
      </c>
      <c r="D79" s="27" t="s">
        <v>520</v>
      </c>
      <c r="F79" s="122" t="s">
        <v>521</v>
      </c>
      <c r="G79" t="s">
        <v>522</v>
      </c>
      <c r="H79" s="27" t="s">
        <v>517</v>
      </c>
      <c r="I79" s="27">
        <v>159701</v>
      </c>
      <c r="J79"/>
      <c r="K79"/>
      <c r="L79"/>
      <c r="M79">
        <v>0.00148</v>
      </c>
      <c r="N79" s="27" t="s">
        <v>523</v>
      </c>
      <c r="P79" s="122" t="s">
        <v>521</v>
      </c>
      <c r="Q79" s="27">
        <v>159701</v>
      </c>
      <c r="R79" s="27">
        <v>159701</v>
      </c>
      <c r="U79" s="27" t="s">
        <v>524</v>
      </c>
      <c r="V79" t="s">
        <v>522</v>
      </c>
      <c r="W79"/>
      <c r="X79" s="27" t="s">
        <v>517</v>
      </c>
      <c r="Y79" s="27" t="s">
        <v>341</v>
      </c>
      <c r="Z79">
        <v>0.568</v>
      </c>
      <c r="AA79">
        <v>0.423</v>
      </c>
      <c r="AB79">
        <v>50.7</v>
      </c>
      <c r="AC79">
        <v>0.00148</v>
      </c>
      <c r="AD79">
        <v>107</v>
      </c>
      <c r="AE79" t="s">
        <v>42</v>
      </c>
      <c r="AF79" t="s">
        <v>42</v>
      </c>
      <c r="AG79" t="s">
        <v>42</v>
      </c>
      <c r="AH79" t="s">
        <v>42</v>
      </c>
      <c r="AI79" s="27" t="s">
        <v>62</v>
      </c>
      <c r="AJ79" s="113" t="s">
        <v>63</v>
      </c>
      <c r="AK79" s="38" t="s">
        <v>45</v>
      </c>
    </row>
    <row r="80" spans="1:39">
      <c r="A80" s="41" t="s">
        <v>525</v>
      </c>
      <c r="B80" s="42" t="s">
        <v>526</v>
      </c>
      <c r="C80" s="27" t="s">
        <v>514</v>
      </c>
      <c r="D80" s="27" t="s">
        <v>33</v>
      </c>
      <c r="F80" s="122" t="s">
        <v>135</v>
      </c>
      <c r="G80" t="s">
        <v>527</v>
      </c>
      <c r="H80" s="27" t="s">
        <v>517</v>
      </c>
      <c r="I80" s="27">
        <v>31459</v>
      </c>
      <c r="J80"/>
      <c r="K80"/>
      <c r="L80"/>
      <c r="M80">
        <v>0.635</v>
      </c>
      <c r="N80" s="27" t="s">
        <v>38</v>
      </c>
      <c r="P80" s="122" t="s">
        <v>135</v>
      </c>
      <c r="Q80" s="27">
        <v>31459</v>
      </c>
      <c r="R80" s="27">
        <v>31459</v>
      </c>
      <c r="U80" s="27" t="s">
        <v>528</v>
      </c>
      <c r="V80" t="s">
        <v>527</v>
      </c>
      <c r="W80"/>
      <c r="X80" s="27" t="s">
        <v>517</v>
      </c>
      <c r="Y80" s="27" t="s">
        <v>216</v>
      </c>
      <c r="Z80">
        <v>0.666</v>
      </c>
      <c r="AA80">
        <v>0.9</v>
      </c>
      <c r="AB80">
        <v>73.1</v>
      </c>
      <c r="AC80">
        <v>0.635</v>
      </c>
      <c r="AD80" t="s">
        <v>42</v>
      </c>
      <c r="AE80">
        <v>73</v>
      </c>
      <c r="AF80">
        <v>30</v>
      </c>
      <c r="AG80">
        <v>153</v>
      </c>
      <c r="AH80">
        <v>60</v>
      </c>
      <c r="AI80" s="27" t="s">
        <v>83</v>
      </c>
      <c r="AJ80" s="113" t="s">
        <v>44</v>
      </c>
      <c r="AK80" s="38" t="s">
        <v>45</v>
      </c>
    </row>
    <row r="81" spans="1:39">
      <c r="A81" s="41" t="s">
        <v>529</v>
      </c>
      <c r="B81" s="42" t="s">
        <v>526</v>
      </c>
      <c r="C81" s="27" t="s">
        <v>499</v>
      </c>
      <c r="D81" s="27" t="s">
        <v>520</v>
      </c>
      <c r="F81" s="122" t="s">
        <v>530</v>
      </c>
      <c r="G81" t="s">
        <v>531</v>
      </c>
      <c r="H81" s="27" t="s">
        <v>517</v>
      </c>
      <c r="I81" s="27">
        <v>121682</v>
      </c>
      <c r="J81"/>
      <c r="K81"/>
      <c r="L81"/>
      <c r="M81">
        <v>0.741</v>
      </c>
      <c r="N81" s="27" t="s">
        <v>523</v>
      </c>
      <c r="P81" s="122" t="s">
        <v>530</v>
      </c>
      <c r="Q81" s="27">
        <v>121682</v>
      </c>
      <c r="R81" s="27">
        <v>121682</v>
      </c>
      <c r="U81" s="27" t="s">
        <v>532</v>
      </c>
      <c r="V81" t="s">
        <v>531</v>
      </c>
      <c r="W81"/>
      <c r="X81" s="27" t="s">
        <v>517</v>
      </c>
      <c r="Y81" s="27" t="s">
        <v>216</v>
      </c>
      <c r="Z81">
        <v>0.097</v>
      </c>
      <c r="AA81">
        <v>0.537</v>
      </c>
      <c r="AB81">
        <v>90.1</v>
      </c>
      <c r="AC81">
        <v>0.741</v>
      </c>
      <c r="AD81" t="s">
        <v>42</v>
      </c>
      <c r="AE81">
        <v>371</v>
      </c>
      <c r="AF81">
        <v>10</v>
      </c>
      <c r="AG81">
        <v>768</v>
      </c>
      <c r="AH81">
        <v>15</v>
      </c>
      <c r="AI81" s="27" t="s">
        <v>62</v>
      </c>
      <c r="AJ81" s="113" t="s">
        <v>44</v>
      </c>
      <c r="AK81" s="38" t="s">
        <v>45</v>
      </c>
    </row>
    <row r="82" spans="1:39">
      <c r="B82" s="29" t="s">
        <v>533</v>
      </c>
      <c r="AK82" s="106"/>
    </row>
    <row r="83" spans="1:39">
      <c r="A83" s="27" t="s">
        <v>534</v>
      </c>
      <c r="B83" s="27" t="s">
        <v>535</v>
      </c>
      <c r="C83" s="27" t="s">
        <v>536</v>
      </c>
      <c r="D83" s="27" t="s">
        <v>33</v>
      </c>
      <c r="F83" s="122" t="s">
        <v>537</v>
      </c>
      <c r="G83" s="40" t="s">
        <v>538</v>
      </c>
      <c r="H83" s="27" t="s">
        <v>37</v>
      </c>
      <c r="I83" s="27" t="s">
        <v>107</v>
      </c>
      <c r="J83" s="40"/>
      <c r="K83" s="40"/>
      <c r="L83" s="40"/>
      <c r="M83" s="40">
        <v>1.89e-5</v>
      </c>
      <c r="N83" s="27" t="s">
        <v>38</v>
      </c>
      <c r="P83" s="122" t="s">
        <v>537</v>
      </c>
      <c r="Q83" s="27" t="s">
        <v>539</v>
      </c>
      <c r="R83" s="27" t="s">
        <v>107</v>
      </c>
      <c r="S83" s="27">
        <v>186789</v>
      </c>
      <c r="U83" s="27" t="s">
        <v>540</v>
      </c>
      <c r="V83" s="40" t="s">
        <v>538</v>
      </c>
      <c r="W83" s="40"/>
      <c r="X83" s="27" t="s">
        <v>37</v>
      </c>
      <c r="Y83" s="27" t="s">
        <v>341</v>
      </c>
      <c r="Z83" s="40">
        <v>0.448</v>
      </c>
      <c r="AA83" s="40">
        <v>0.0218</v>
      </c>
      <c r="AB83" s="40">
        <v>78.7</v>
      </c>
      <c r="AC83" s="40">
        <v>1.89e-5</v>
      </c>
      <c r="AD83" s="40">
        <v>731</v>
      </c>
      <c r="AE83" s="27"/>
      <c r="AF83" s="27"/>
      <c r="AG83" s="27"/>
      <c r="AH83" s="27"/>
      <c r="AI83" s="27" t="s">
        <v>83</v>
      </c>
      <c r="AJ83" s="113" t="s">
        <v>52</v>
      </c>
      <c r="AK83" s="38" t="s">
        <v>45</v>
      </c>
      <c r="AL83" s="27"/>
      <c r="AM83" s="27"/>
    </row>
    <row r="84" spans="1:39">
      <c r="A84" s="27" t="s">
        <v>541</v>
      </c>
      <c r="B84" s="27" t="s">
        <v>535</v>
      </c>
      <c r="C84" s="27" t="s">
        <v>536</v>
      </c>
      <c r="D84" s="27" t="s">
        <v>55</v>
      </c>
      <c r="F84" s="124" t="s">
        <v>542</v>
      </c>
      <c r="G84" s="40" t="s">
        <v>543</v>
      </c>
      <c r="H84" s="27" t="s">
        <v>37</v>
      </c>
      <c r="I84" s="27" t="s">
        <v>208</v>
      </c>
      <c r="J84" s="40"/>
      <c r="K84" s="40"/>
      <c r="L84" s="40"/>
      <c r="M84" s="40">
        <v>0.00257</v>
      </c>
      <c r="N84" s="27" t="s">
        <v>59</v>
      </c>
      <c r="P84" s="124" t="s">
        <v>542</v>
      </c>
      <c r="Q84" s="27" t="s">
        <v>544</v>
      </c>
      <c r="R84" s="27" t="s">
        <v>208</v>
      </c>
      <c r="S84" s="27">
        <v>65380</v>
      </c>
      <c r="U84" s="27" t="s">
        <v>545</v>
      </c>
      <c r="V84" s="40" t="s">
        <v>543</v>
      </c>
      <c r="W84" s="40"/>
      <c r="X84" s="27" t="s">
        <v>37</v>
      </c>
      <c r="Y84" s="27" t="s">
        <v>341</v>
      </c>
      <c r="Z84" s="40">
        <v>0.22</v>
      </c>
      <c r="AA84" s="40">
        <v>0.373</v>
      </c>
      <c r="AB84" s="40">
        <v>55.7</v>
      </c>
      <c r="AC84" s="40">
        <v>0.00257</v>
      </c>
      <c r="AD84" s="40">
        <v>92</v>
      </c>
      <c r="AE84" s="27"/>
      <c r="AF84" s="27"/>
      <c r="AG84" s="27"/>
      <c r="AH84" s="27"/>
      <c r="AI84" s="27" t="s">
        <v>83</v>
      </c>
      <c r="AJ84" s="113" t="s">
        <v>63</v>
      </c>
      <c r="AK84" s="38" t="s">
        <v>45</v>
      </c>
      <c r="AL84" s="27"/>
      <c r="AM84" s="27"/>
    </row>
    <row r="85" spans="1:39">
      <c r="A85" s="41" t="s">
        <v>546</v>
      </c>
      <c r="B85" s="58" t="s">
        <v>547</v>
      </c>
      <c r="C85" s="43" t="s">
        <v>536</v>
      </c>
      <c r="D85" s="28" t="s">
        <v>548</v>
      </c>
      <c r="F85" s="27" t="s">
        <v>549</v>
      </c>
      <c r="G85" t="s">
        <v>550</v>
      </c>
      <c r="H85" s="27" t="s">
        <v>551</v>
      </c>
      <c r="I85" s="27" t="s">
        <v>107</v>
      </c>
      <c r="J85"/>
      <c r="K85"/>
      <c r="L85"/>
      <c r="M85" t="s">
        <v>43</v>
      </c>
      <c r="N85" s="27" t="s">
        <v>552</v>
      </c>
      <c r="P85" s="27" t="s">
        <v>549</v>
      </c>
      <c r="Q85" s="27" t="s">
        <v>553</v>
      </c>
      <c r="R85" s="27" t="s">
        <v>107</v>
      </c>
      <c r="S85" s="27">
        <v>181303</v>
      </c>
      <c r="U85" s="27" t="s">
        <v>550</v>
      </c>
      <c r="V85" t="s">
        <v>550</v>
      </c>
      <c r="W85"/>
      <c r="X85" s="27" t="s">
        <v>551</v>
      </c>
      <c r="Y85" s="27" t="s">
        <v>216</v>
      </c>
      <c r="Z85" t="s">
        <v>43</v>
      </c>
      <c r="AA85" t="s">
        <v>43</v>
      </c>
      <c r="AB85" t="s">
        <v>43</v>
      </c>
      <c r="AC85" t="s">
        <v>43</v>
      </c>
      <c r="AD85" t="s">
        <v>42</v>
      </c>
      <c r="AE85" t="s">
        <v>42</v>
      </c>
      <c r="AF85" t="s">
        <v>42</v>
      </c>
      <c r="AG85" t="s">
        <v>42</v>
      </c>
      <c r="AH85" t="s">
        <v>42</v>
      </c>
      <c r="AI85" s="27" t="s">
        <v>83</v>
      </c>
      <c r="AJ85" s="113" t="s">
        <v>554</v>
      </c>
      <c r="AK85" s="38"/>
    </row>
    <row r="86" spans="1:39">
      <c r="A86" s="41" t="s">
        <v>555</v>
      </c>
      <c r="B86" s="58" t="s">
        <v>547</v>
      </c>
      <c r="C86" s="43" t="s">
        <v>536</v>
      </c>
      <c r="D86" s="28" t="s">
        <v>556</v>
      </c>
      <c r="F86" s="27" t="s">
        <v>557</v>
      </c>
      <c r="G86" t="s">
        <v>550</v>
      </c>
      <c r="H86" s="27" t="s">
        <v>551</v>
      </c>
      <c r="I86" s="27" t="s">
        <v>107</v>
      </c>
      <c r="J86"/>
      <c r="K86"/>
      <c r="L86"/>
      <c r="M86" t="s">
        <v>43</v>
      </c>
      <c r="N86" s="27" t="s">
        <v>558</v>
      </c>
      <c r="P86" s="27" t="s">
        <v>557</v>
      </c>
      <c r="Q86" s="27" t="s">
        <v>559</v>
      </c>
      <c r="R86" s="27" t="s">
        <v>107</v>
      </c>
      <c r="S86" s="27">
        <v>2606031</v>
      </c>
      <c r="U86" s="27" t="s">
        <v>550</v>
      </c>
      <c r="V86" t="s">
        <v>550</v>
      </c>
      <c r="W86"/>
      <c r="X86" s="27" t="s">
        <v>551</v>
      </c>
      <c r="Y86" s="27" t="s">
        <v>216</v>
      </c>
      <c r="Z86" t="s">
        <v>43</v>
      </c>
      <c r="AA86" t="s">
        <v>43</v>
      </c>
      <c r="AB86" t="s">
        <v>43</v>
      </c>
      <c r="AC86" t="s">
        <v>43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 s="27" t="s">
        <v>83</v>
      </c>
      <c r="AJ86" s="113" t="s">
        <v>554</v>
      </c>
      <c r="AK86" s="38"/>
    </row>
    <row r="87" spans="1:39">
      <c r="A87" s="41" t="s">
        <v>560</v>
      </c>
      <c r="B87" s="58" t="s">
        <v>561</v>
      </c>
      <c r="C87" s="43" t="s">
        <v>536</v>
      </c>
      <c r="D87" s="28" t="s">
        <v>562</v>
      </c>
      <c r="F87" s="123" t="s">
        <v>563</v>
      </c>
      <c r="G87" t="s">
        <v>564</v>
      </c>
      <c r="H87" s="27" t="s">
        <v>37</v>
      </c>
      <c r="I87" s="27" t="s">
        <v>107</v>
      </c>
      <c r="J87"/>
      <c r="K87"/>
      <c r="L87"/>
      <c r="M87">
        <v>3.25e-12</v>
      </c>
      <c r="N87" s="27" t="s">
        <v>565</v>
      </c>
      <c r="P87" s="123" t="s">
        <v>563</v>
      </c>
      <c r="Q87" s="27" t="s">
        <v>566</v>
      </c>
      <c r="R87" s="27" t="s">
        <v>107</v>
      </c>
      <c r="S87" s="27">
        <v>1900730</v>
      </c>
      <c r="U87" s="27" t="s">
        <v>564</v>
      </c>
      <c r="V87" t="s">
        <v>564</v>
      </c>
      <c r="W87"/>
      <c r="X87" s="27" t="s">
        <v>37</v>
      </c>
      <c r="Y87" s="27" t="s">
        <v>216</v>
      </c>
      <c r="Z87" s="40">
        <v>0.0373</v>
      </c>
      <c r="AA87" s="40">
        <v>0.622</v>
      </c>
      <c r="AB87" s="40">
        <v>92.1</v>
      </c>
      <c r="AC87">
        <v>3.25e-12</v>
      </c>
      <c r="AD87" s="40">
        <v>10610</v>
      </c>
      <c r="AE87" t="s">
        <v>42</v>
      </c>
      <c r="AF87" t="s">
        <v>42</v>
      </c>
      <c r="AG87" t="s">
        <v>42</v>
      </c>
      <c r="AH87" t="s">
        <v>42</v>
      </c>
      <c r="AI87" s="27" t="s">
        <v>83</v>
      </c>
      <c r="AJ87" s="113" t="s">
        <v>111</v>
      </c>
      <c r="AK87" s="38" t="s">
        <v>45</v>
      </c>
    </row>
    <row r="88" spans="1:39">
      <c r="A88" s="27" t="s">
        <v>567</v>
      </c>
      <c r="B88" s="58" t="s">
        <v>561</v>
      </c>
      <c r="C88" s="27" t="s">
        <v>536</v>
      </c>
      <c r="D88" s="34" t="s">
        <v>568</v>
      </c>
      <c r="F88" s="122" t="s">
        <v>569</v>
      </c>
      <c r="G88" s="40" t="s">
        <v>570</v>
      </c>
      <c r="H88" s="27" t="s">
        <v>37</v>
      </c>
      <c r="I88" s="27" t="s">
        <v>208</v>
      </c>
      <c r="M88" s="27">
        <v>8.56e-5</v>
      </c>
      <c r="N88" s="34" t="s">
        <v>571</v>
      </c>
      <c r="P88" s="122" t="s">
        <v>569</v>
      </c>
      <c r="Q88" s="27" t="s">
        <v>572</v>
      </c>
      <c r="R88" s="27" t="s">
        <v>208</v>
      </c>
      <c r="S88" s="27">
        <v>981376</v>
      </c>
      <c r="U88" s="27" t="s">
        <v>570</v>
      </c>
      <c r="V88" s="40" t="s">
        <v>570</v>
      </c>
      <c r="X88" s="27" t="s">
        <v>37</v>
      </c>
      <c r="Y88" s="27" t="s">
        <v>341</v>
      </c>
      <c r="Z88" s="40">
        <v>0.506</v>
      </c>
      <c r="AA88" s="40">
        <v>0.247</v>
      </c>
      <c r="AB88" s="40">
        <v>96.7</v>
      </c>
      <c r="AC88" s="27">
        <v>8.56e-5</v>
      </c>
      <c r="AD88" s="40">
        <v>5204</v>
      </c>
      <c r="AE88" s="27"/>
      <c r="AF88" s="27"/>
      <c r="AG88" s="27"/>
      <c r="AH88" s="27"/>
      <c r="AI88" s="27" t="s">
        <v>83</v>
      </c>
      <c r="AJ88" s="113" t="s">
        <v>52</v>
      </c>
      <c r="AK88" s="38" t="s">
        <v>45</v>
      </c>
      <c r="AL88" s="27"/>
      <c r="AM88" s="27"/>
    </row>
    <row r="89" spans="1:39">
      <c r="A89" s="41" t="s">
        <v>573</v>
      </c>
      <c r="B89" s="58" t="s">
        <v>574</v>
      </c>
      <c r="C89" s="43" t="s">
        <v>536</v>
      </c>
      <c r="D89" s="28" t="s">
        <v>556</v>
      </c>
      <c r="F89" s="122" t="s">
        <v>338</v>
      </c>
      <c r="G89" s="40" t="s">
        <v>575</v>
      </c>
      <c r="H89" s="27" t="s">
        <v>37</v>
      </c>
      <c r="I89" s="27" t="s">
        <v>208</v>
      </c>
      <c r="J89" s="40"/>
      <c r="K89" s="40"/>
      <c r="L89" s="40"/>
      <c r="M89" s="40">
        <v>0.00236</v>
      </c>
      <c r="N89" s="27" t="s">
        <v>558</v>
      </c>
      <c r="P89" s="122" t="s">
        <v>338</v>
      </c>
      <c r="Q89" s="27" t="s">
        <v>576</v>
      </c>
      <c r="R89" s="27" t="s">
        <v>208</v>
      </c>
      <c r="S89" s="27">
        <v>15514</v>
      </c>
      <c r="U89" s="27" t="s">
        <v>577</v>
      </c>
      <c r="V89" s="40" t="s">
        <v>575</v>
      </c>
      <c r="W89" s="40"/>
      <c r="X89" s="27" t="s">
        <v>37</v>
      </c>
      <c r="Y89" s="27" t="s">
        <v>216</v>
      </c>
      <c r="Z89" s="40">
        <v>0.0286</v>
      </c>
      <c r="AA89" s="40">
        <v>0.39</v>
      </c>
      <c r="AB89" s="40">
        <v>58.9</v>
      </c>
      <c r="AC89" s="40">
        <v>0.00236</v>
      </c>
      <c r="AD89" s="40">
        <v>73</v>
      </c>
      <c r="AE89" t="s">
        <v>42</v>
      </c>
      <c r="AF89" t="s">
        <v>42</v>
      </c>
      <c r="AG89" t="s">
        <v>42</v>
      </c>
      <c r="AH89" t="s">
        <v>42</v>
      </c>
      <c r="AI89" s="27" t="s">
        <v>83</v>
      </c>
      <c r="AJ89" s="113" t="s">
        <v>63</v>
      </c>
      <c r="AK89" s="38" t="s">
        <v>45</v>
      </c>
    </row>
    <row r="90" s="48" customFormat="1" spans="1:39">
      <c r="A90" s="34" t="s">
        <v>578</v>
      </c>
      <c r="B90" s="45" t="s">
        <v>579</v>
      </c>
      <c r="C90" s="52" t="s">
        <v>580</v>
      </c>
      <c r="D90" s="53" t="s">
        <v>562</v>
      </c>
      <c r="E90" s="34"/>
      <c r="F90" s="126" t="s">
        <v>581</v>
      </c>
      <c r="H90" s="34" t="s">
        <v>37</v>
      </c>
      <c r="I90" s="34" t="s">
        <v>582</v>
      </c>
      <c r="M90" s="48">
        <v>0.0527</v>
      </c>
      <c r="N90" s="34" t="s">
        <v>565</v>
      </c>
      <c r="O90" s="34"/>
      <c r="P90" s="126" t="s">
        <v>581</v>
      </c>
      <c r="Q90" s="34" t="s">
        <v>583</v>
      </c>
      <c r="R90" s="34" t="s">
        <v>582</v>
      </c>
      <c r="S90" s="47">
        <v>9045</v>
      </c>
      <c r="T90" s="47"/>
      <c r="U90" s="47" t="s">
        <v>584</v>
      </c>
      <c r="W90" s="48">
        <v>1</v>
      </c>
      <c r="X90" s="34" t="s">
        <v>37</v>
      </c>
      <c r="Y90" s="34" t="s">
        <v>216</v>
      </c>
      <c r="Z90" s="48">
        <v>0.0835</v>
      </c>
      <c r="AA90" s="48">
        <v>0.853</v>
      </c>
      <c r="AB90" s="48">
        <v>83.3</v>
      </c>
      <c r="AC90" s="48">
        <v>0.0527</v>
      </c>
      <c r="AD90" s="48" t="s">
        <v>42</v>
      </c>
      <c r="AE90" s="48">
        <v>0</v>
      </c>
      <c r="AF90" s="48" t="s">
        <v>159</v>
      </c>
      <c r="AG90" s="48">
        <v>1</v>
      </c>
      <c r="AH90" s="48">
        <v>1</v>
      </c>
      <c r="AI90" s="34" t="s">
        <v>146</v>
      </c>
      <c r="AJ90" s="113" t="s">
        <v>44</v>
      </c>
      <c r="AK90" s="49" t="s">
        <v>45</v>
      </c>
    </row>
    <row r="91" spans="1:39">
      <c r="A91" s="27" t="s">
        <v>585</v>
      </c>
      <c r="B91" s="27" t="s">
        <v>586</v>
      </c>
      <c r="C91" s="27" t="s">
        <v>536</v>
      </c>
      <c r="D91" s="27" t="s">
        <v>33</v>
      </c>
      <c r="F91" s="122" t="s">
        <v>587</v>
      </c>
      <c r="G91" s="40" t="s">
        <v>588</v>
      </c>
      <c r="H91" s="27" t="s">
        <v>37</v>
      </c>
      <c r="I91" s="27" t="s">
        <v>107</v>
      </c>
      <c r="J91" s="40"/>
      <c r="K91" s="40"/>
      <c r="L91" s="40"/>
      <c r="M91" s="40">
        <v>5.37e-5</v>
      </c>
      <c r="N91" s="27" t="s">
        <v>38</v>
      </c>
      <c r="P91" s="122" t="s">
        <v>587</v>
      </c>
      <c r="Q91" s="27" t="s">
        <v>589</v>
      </c>
      <c r="R91" s="27" t="s">
        <v>107</v>
      </c>
      <c r="S91" s="27">
        <v>81749</v>
      </c>
      <c r="U91" s="27" t="s">
        <v>590</v>
      </c>
      <c r="V91" s="40" t="s">
        <v>588</v>
      </c>
      <c r="W91" s="40"/>
      <c r="X91" s="27" t="s">
        <v>37</v>
      </c>
      <c r="Y91" s="27" t="s">
        <v>341</v>
      </c>
      <c r="Z91" s="40">
        <v>0.109</v>
      </c>
      <c r="AA91" s="40">
        <v>0.491</v>
      </c>
      <c r="AB91" s="40">
        <v>64.6</v>
      </c>
      <c r="AC91" s="40">
        <v>5.37e-5</v>
      </c>
      <c r="AD91" s="40">
        <v>372</v>
      </c>
      <c r="AE91" s="27"/>
      <c r="AF91" s="27"/>
      <c r="AG91" s="27"/>
      <c r="AH91" s="27"/>
      <c r="AI91" s="27" t="s">
        <v>83</v>
      </c>
      <c r="AJ91" s="113" t="s">
        <v>52</v>
      </c>
      <c r="AK91" s="38" t="s">
        <v>45</v>
      </c>
      <c r="AL91" s="27"/>
      <c r="AM91" s="27"/>
    </row>
    <row r="92" spans="1:39">
      <c r="A92" s="27" t="s">
        <v>591</v>
      </c>
      <c r="B92" s="27" t="s">
        <v>586</v>
      </c>
      <c r="C92" s="27" t="s">
        <v>536</v>
      </c>
      <c r="D92" s="27" t="s">
        <v>55</v>
      </c>
      <c r="F92" s="122" t="s">
        <v>97</v>
      </c>
      <c r="G92" s="40" t="s">
        <v>592</v>
      </c>
      <c r="H92" s="27" t="s">
        <v>37</v>
      </c>
      <c r="I92" s="27" t="s">
        <v>208</v>
      </c>
      <c r="J92" s="40"/>
      <c r="K92" s="40"/>
      <c r="L92" s="40"/>
      <c r="M92" s="40">
        <v>3.61e-5</v>
      </c>
      <c r="N92" s="27" t="s">
        <v>59</v>
      </c>
      <c r="P92" s="122" t="s">
        <v>97</v>
      </c>
      <c r="Q92" s="27" t="s">
        <v>593</v>
      </c>
      <c r="R92" s="27" t="s">
        <v>208</v>
      </c>
      <c r="S92" s="27">
        <v>26886</v>
      </c>
      <c r="U92" s="27" t="s">
        <v>594</v>
      </c>
      <c r="V92" s="40" t="s">
        <v>592</v>
      </c>
      <c r="W92" s="40"/>
      <c r="X92" s="27" t="s">
        <v>37</v>
      </c>
      <c r="Y92" s="27" t="s">
        <v>341</v>
      </c>
      <c r="Z92" s="40">
        <v>0.29</v>
      </c>
      <c r="AA92" s="40">
        <v>0.829</v>
      </c>
      <c r="AB92" s="27">
        <v>0</v>
      </c>
      <c r="AC92" s="40">
        <v>3.61e-5</v>
      </c>
      <c r="AD92" s="40">
        <v>82</v>
      </c>
      <c r="AE92" s="27"/>
      <c r="AF92" s="27"/>
      <c r="AG92" s="27"/>
      <c r="AH92" s="27"/>
      <c r="AI92" s="27" t="s">
        <v>83</v>
      </c>
      <c r="AJ92" s="113" t="s">
        <v>52</v>
      </c>
      <c r="AK92" s="38" t="s">
        <v>62</v>
      </c>
      <c r="AL92" s="27"/>
      <c r="AM92" s="27"/>
    </row>
    <row r="93" spans="1:39">
      <c r="A93" s="41" t="s">
        <v>595</v>
      </c>
      <c r="B93" s="58" t="s">
        <v>596</v>
      </c>
      <c r="C93" s="43" t="s">
        <v>536</v>
      </c>
      <c r="D93" s="28" t="s">
        <v>548</v>
      </c>
      <c r="F93" s="122" t="s">
        <v>597</v>
      </c>
      <c r="G93" s="27" t="s">
        <v>550</v>
      </c>
      <c r="H93" s="27" t="s">
        <v>551</v>
      </c>
      <c r="I93" s="27" t="s">
        <v>107</v>
      </c>
      <c r="J93"/>
      <c r="K93"/>
      <c r="L93"/>
      <c r="M93" t="s">
        <v>43</v>
      </c>
      <c r="N93" s="34" t="s">
        <v>552</v>
      </c>
      <c r="P93" s="122" t="s">
        <v>597</v>
      </c>
      <c r="Q93" s="27" t="s">
        <v>598</v>
      </c>
      <c r="R93" s="27" t="s">
        <v>107</v>
      </c>
      <c r="S93" s="27">
        <v>112010</v>
      </c>
      <c r="U93" s="27" t="s">
        <v>550</v>
      </c>
      <c r="V93" s="27" t="s">
        <v>550</v>
      </c>
      <c r="W93"/>
      <c r="X93" s="27" t="s">
        <v>551</v>
      </c>
      <c r="Y93" s="27" t="s">
        <v>216</v>
      </c>
      <c r="Z93" t="s">
        <v>43</v>
      </c>
      <c r="AA93" t="s">
        <v>43</v>
      </c>
      <c r="AB93" t="s">
        <v>43</v>
      </c>
      <c r="AC93" t="s">
        <v>43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 s="27" t="s">
        <v>83</v>
      </c>
      <c r="AJ93" s="113" t="s">
        <v>554</v>
      </c>
      <c r="AK93" s="38"/>
    </row>
    <row r="94" spans="1:39">
      <c r="A94" s="41" t="s">
        <v>599</v>
      </c>
      <c r="B94" s="58" t="s">
        <v>596</v>
      </c>
      <c r="C94" s="43" t="s">
        <v>536</v>
      </c>
      <c r="D94" s="28" t="s">
        <v>556</v>
      </c>
      <c r="F94" s="27" t="s">
        <v>600</v>
      </c>
      <c r="G94" s="27" t="s">
        <v>550</v>
      </c>
      <c r="H94" s="27" t="s">
        <v>551</v>
      </c>
      <c r="I94" s="27" t="s">
        <v>107</v>
      </c>
      <c r="J94"/>
      <c r="K94"/>
      <c r="L94"/>
      <c r="M94" t="s">
        <v>43</v>
      </c>
      <c r="N94" s="27" t="s">
        <v>558</v>
      </c>
      <c r="P94" s="27" t="s">
        <v>600</v>
      </c>
      <c r="Q94" s="27" t="s">
        <v>601</v>
      </c>
      <c r="R94" s="27" t="s">
        <v>107</v>
      </c>
      <c r="S94" s="27">
        <v>401781</v>
      </c>
      <c r="U94" s="27" t="s">
        <v>550</v>
      </c>
      <c r="V94" s="27" t="s">
        <v>550</v>
      </c>
      <c r="W94"/>
      <c r="X94" s="27" t="s">
        <v>551</v>
      </c>
      <c r="Y94" s="27" t="s">
        <v>216</v>
      </c>
      <c r="Z94" t="s">
        <v>43</v>
      </c>
      <c r="AA94" t="s">
        <v>43</v>
      </c>
      <c r="AB94" t="s">
        <v>43</v>
      </c>
      <c r="AC94" t="s">
        <v>43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  <c r="AI94" s="27" t="s">
        <v>83</v>
      </c>
      <c r="AJ94" s="113" t="s">
        <v>554</v>
      </c>
      <c r="AK94" s="38"/>
    </row>
    <row r="95" spans="1:39">
      <c r="A95" s="41" t="s">
        <v>602</v>
      </c>
      <c r="B95" s="58" t="s">
        <v>603</v>
      </c>
      <c r="C95" s="43" t="s">
        <v>536</v>
      </c>
      <c r="D95" s="28" t="s">
        <v>562</v>
      </c>
      <c r="F95" s="123" t="s">
        <v>604</v>
      </c>
      <c r="G95" t="s">
        <v>605</v>
      </c>
      <c r="H95" s="27" t="s">
        <v>37</v>
      </c>
      <c r="I95" s="27" t="s">
        <v>208</v>
      </c>
      <c r="J95"/>
      <c r="K95"/>
      <c r="L95"/>
      <c r="M95">
        <v>1.94e-8</v>
      </c>
      <c r="N95" s="27" t="s">
        <v>565</v>
      </c>
      <c r="P95" s="123" t="s">
        <v>604</v>
      </c>
      <c r="Q95" s="27" t="s">
        <v>606</v>
      </c>
      <c r="R95" s="27" t="s">
        <v>208</v>
      </c>
      <c r="S95" s="27">
        <v>283716</v>
      </c>
      <c r="U95" s="27" t="s">
        <v>607</v>
      </c>
      <c r="V95" t="s">
        <v>605</v>
      </c>
      <c r="W95"/>
      <c r="X95" s="27" t="s">
        <v>37</v>
      </c>
      <c r="Y95" s="27" t="s">
        <v>216</v>
      </c>
      <c r="Z95" s="40">
        <v>0.228</v>
      </c>
      <c r="AA95" s="40">
        <v>0.546</v>
      </c>
      <c r="AB95" s="40">
        <v>83.4</v>
      </c>
      <c r="AC95">
        <v>1.94e-8</v>
      </c>
      <c r="AD95" s="40">
        <v>3121</v>
      </c>
      <c r="AE95" t="s">
        <v>42</v>
      </c>
      <c r="AF95" t="s">
        <v>42</v>
      </c>
      <c r="AG95" t="s">
        <v>42</v>
      </c>
      <c r="AH95" t="s">
        <v>42</v>
      </c>
      <c r="AI95" s="27" t="s">
        <v>83</v>
      </c>
      <c r="AJ95" s="113" t="s">
        <v>111</v>
      </c>
      <c r="AK95" s="38" t="s">
        <v>45</v>
      </c>
    </row>
    <row r="96" customHeight="1" spans="1:39">
      <c r="A96" s="27" t="s">
        <v>608</v>
      </c>
      <c r="B96" s="27" t="s">
        <v>586</v>
      </c>
      <c r="C96" s="27" t="s">
        <v>536</v>
      </c>
      <c r="D96" s="34" t="s">
        <v>568</v>
      </c>
      <c r="F96" s="123" t="s">
        <v>609</v>
      </c>
      <c r="G96" s="40" t="s">
        <v>610</v>
      </c>
      <c r="H96" s="27" t="s">
        <v>37</v>
      </c>
      <c r="I96" t="s">
        <v>208</v>
      </c>
      <c r="J96" s="40"/>
      <c r="K96" s="40"/>
      <c r="L96" s="40"/>
      <c r="M96" s="40">
        <v>0.000914</v>
      </c>
      <c r="N96" s="34" t="s">
        <v>571</v>
      </c>
      <c r="P96" s="123" t="s">
        <v>609</v>
      </c>
      <c r="Q96" t="s">
        <v>611</v>
      </c>
      <c r="R96" t="s">
        <v>208</v>
      </c>
      <c r="S96" s="27">
        <v>1302816</v>
      </c>
      <c r="U96" s="27" t="s">
        <v>612</v>
      </c>
      <c r="V96" s="40" t="s">
        <v>610</v>
      </c>
      <c r="W96" s="40"/>
      <c r="X96" s="27" t="s">
        <v>37</v>
      </c>
      <c r="Y96" s="27" t="s">
        <v>341</v>
      </c>
      <c r="Z96" s="40">
        <v>0.804</v>
      </c>
      <c r="AA96" s="40">
        <v>0.95</v>
      </c>
      <c r="AB96" s="40">
        <v>96.4</v>
      </c>
      <c r="AC96" s="40">
        <v>0.000914</v>
      </c>
      <c r="AD96" s="40">
        <v>1879</v>
      </c>
      <c r="AE96" s="27"/>
      <c r="AF96" s="27"/>
      <c r="AG96" s="27"/>
      <c r="AH96" s="27"/>
      <c r="AI96" s="27" t="s">
        <v>83</v>
      </c>
      <c r="AJ96" s="113" t="s">
        <v>52</v>
      </c>
      <c r="AK96" s="38" t="s">
        <v>45</v>
      </c>
      <c r="AL96" s="27"/>
      <c r="AM96" s="27"/>
    </row>
    <row r="97" spans="1:39">
      <c r="A97" s="27" t="s">
        <v>613</v>
      </c>
      <c r="B97" s="27" t="s">
        <v>614</v>
      </c>
      <c r="C97" s="27" t="s">
        <v>615</v>
      </c>
      <c r="D97" s="27" t="s">
        <v>500</v>
      </c>
      <c r="F97" s="122" t="s">
        <v>616</v>
      </c>
      <c r="G97" s="40" t="s">
        <v>617</v>
      </c>
      <c r="H97" s="27" t="s">
        <v>37</v>
      </c>
      <c r="I97" s="27" t="s">
        <v>208</v>
      </c>
      <c r="J97" s="40"/>
      <c r="K97" s="40"/>
      <c r="L97" s="40"/>
      <c r="M97" s="40">
        <v>0.00419</v>
      </c>
      <c r="N97" s="27" t="s">
        <v>618</v>
      </c>
      <c r="P97" s="122" t="s">
        <v>616</v>
      </c>
      <c r="Q97" s="27" t="s">
        <v>619</v>
      </c>
      <c r="R97" s="27" t="s">
        <v>208</v>
      </c>
      <c r="S97" s="27">
        <v>34713</v>
      </c>
      <c r="U97" s="27" t="s">
        <v>620</v>
      </c>
      <c r="V97" s="40" t="s">
        <v>617</v>
      </c>
      <c r="W97" s="40"/>
      <c r="X97" s="27" t="s">
        <v>37</v>
      </c>
      <c r="Y97" s="27" t="s">
        <v>341</v>
      </c>
      <c r="Z97" s="40">
        <v>0.231</v>
      </c>
      <c r="AA97" s="40">
        <v>0.0165</v>
      </c>
      <c r="AB97" s="40">
        <v>77</v>
      </c>
      <c r="AC97" s="40">
        <v>0.00419</v>
      </c>
      <c r="AD97" s="40">
        <v>160</v>
      </c>
      <c r="AE97" s="27"/>
      <c r="AF97" s="27"/>
      <c r="AG97" s="27"/>
      <c r="AH97" s="27"/>
      <c r="AI97" s="27" t="s">
        <v>62</v>
      </c>
      <c r="AJ97" s="113" t="s">
        <v>63</v>
      </c>
      <c r="AK97" s="38" t="s">
        <v>45</v>
      </c>
      <c r="AL97" s="27"/>
      <c r="AM97" s="27"/>
    </row>
    <row r="98" spans="1:39">
      <c r="A98" s="41" t="s">
        <v>621</v>
      </c>
      <c r="B98" s="42" t="s">
        <v>622</v>
      </c>
      <c r="C98" s="27" t="s">
        <v>623</v>
      </c>
      <c r="D98" s="28" t="s">
        <v>33</v>
      </c>
      <c r="F98" s="122" t="s">
        <v>86</v>
      </c>
      <c r="G98" t="s">
        <v>624</v>
      </c>
      <c r="H98" s="27" t="s">
        <v>37</v>
      </c>
      <c r="I98" s="27" t="s">
        <v>625</v>
      </c>
      <c r="J98"/>
      <c r="K98"/>
      <c r="L98"/>
      <c r="M98">
        <v>0.000199</v>
      </c>
      <c r="N98" s="27" t="s">
        <v>38</v>
      </c>
      <c r="P98" s="122" t="s">
        <v>86</v>
      </c>
      <c r="Q98" s="27" t="s">
        <v>626</v>
      </c>
      <c r="R98" s="27" t="s">
        <v>625</v>
      </c>
      <c r="S98" s="27">
        <v>38650</v>
      </c>
      <c r="U98" s="27" t="s">
        <v>627</v>
      </c>
      <c r="V98" t="s">
        <v>624</v>
      </c>
      <c r="W98"/>
      <c r="X98" s="27" t="s">
        <v>37</v>
      </c>
      <c r="Y98" s="27" t="s">
        <v>216</v>
      </c>
      <c r="Z98">
        <v>0.93</v>
      </c>
      <c r="AA98">
        <v>0.399</v>
      </c>
      <c r="AB98">
        <v>0</v>
      </c>
      <c r="AC98">
        <v>0.000199</v>
      </c>
      <c r="AD98">
        <v>90</v>
      </c>
      <c r="AE98" t="s">
        <v>42</v>
      </c>
      <c r="AF98" t="s">
        <v>42</v>
      </c>
      <c r="AG98" t="s">
        <v>42</v>
      </c>
      <c r="AH98" t="s">
        <v>42</v>
      </c>
      <c r="AI98" s="27" t="s">
        <v>62</v>
      </c>
      <c r="AJ98" s="113" t="s">
        <v>52</v>
      </c>
      <c r="AK98" s="38" t="s">
        <v>62</v>
      </c>
    </row>
    <row r="99" spans="1:39">
      <c r="A99" s="41" t="s">
        <v>628</v>
      </c>
      <c r="B99" s="42" t="s">
        <v>622</v>
      </c>
      <c r="C99" s="27" t="s">
        <v>623</v>
      </c>
      <c r="D99" s="27" t="s">
        <v>562</v>
      </c>
      <c r="F99" s="124" t="s">
        <v>629</v>
      </c>
      <c r="G99" t="s">
        <v>630</v>
      </c>
      <c r="H99" s="27" t="s">
        <v>37</v>
      </c>
      <c r="I99" s="27" t="s">
        <v>631</v>
      </c>
      <c r="J99"/>
      <c r="K99"/>
      <c r="L99"/>
      <c r="M99">
        <v>0.153</v>
      </c>
      <c r="N99" s="27" t="s">
        <v>565</v>
      </c>
      <c r="P99" s="124" t="s">
        <v>629</v>
      </c>
      <c r="Q99" s="27" t="s">
        <v>632</v>
      </c>
      <c r="R99" s="27" t="s">
        <v>631</v>
      </c>
      <c r="S99" s="27">
        <v>3006</v>
      </c>
      <c r="U99" s="27" t="s">
        <v>633</v>
      </c>
      <c r="V99" t="s">
        <v>630</v>
      </c>
      <c r="W99"/>
      <c r="X99" s="27" t="s">
        <v>37</v>
      </c>
      <c r="Y99" s="27" t="s">
        <v>216</v>
      </c>
      <c r="Z99">
        <v>0.294</v>
      </c>
      <c r="AA99">
        <v>0.361</v>
      </c>
      <c r="AB99">
        <v>58</v>
      </c>
      <c r="AC99">
        <v>0.153</v>
      </c>
      <c r="AD99" t="s">
        <v>42</v>
      </c>
      <c r="AE99">
        <v>4</v>
      </c>
      <c r="AF99">
        <v>2</v>
      </c>
      <c r="AG99">
        <v>13</v>
      </c>
      <c r="AH99">
        <v>4</v>
      </c>
      <c r="AI99" s="27" t="s">
        <v>62</v>
      </c>
      <c r="AJ99" s="113" t="s">
        <v>44</v>
      </c>
      <c r="AK99" s="38" t="s">
        <v>45</v>
      </c>
    </row>
    <row r="100" spans="1:39">
      <c r="A100" s="41" t="s">
        <v>634</v>
      </c>
      <c r="B100" s="42" t="s">
        <v>635</v>
      </c>
      <c r="C100" s="43" t="s">
        <v>636</v>
      </c>
      <c r="D100" s="28" t="s">
        <v>562</v>
      </c>
      <c r="F100" s="124" t="s">
        <v>637</v>
      </c>
      <c r="G100" t="s">
        <v>638</v>
      </c>
      <c r="H100" s="27" t="s">
        <v>37</v>
      </c>
      <c r="I100" s="27" t="s">
        <v>639</v>
      </c>
      <c r="J100"/>
      <c r="K100"/>
      <c r="L100"/>
      <c r="M100">
        <v>0.00914</v>
      </c>
      <c r="N100" s="27" t="s">
        <v>565</v>
      </c>
      <c r="P100" s="124" t="s">
        <v>637</v>
      </c>
      <c r="Q100" s="27" t="s">
        <v>640</v>
      </c>
      <c r="R100" s="27" t="s">
        <v>639</v>
      </c>
      <c r="S100" s="27">
        <v>12425</v>
      </c>
      <c r="U100" s="27" t="s">
        <v>641</v>
      </c>
      <c r="V100" t="s">
        <v>638</v>
      </c>
      <c r="W100"/>
      <c r="X100" s="27" t="s">
        <v>37</v>
      </c>
      <c r="Y100" s="27" t="s">
        <v>216</v>
      </c>
      <c r="Z100">
        <v>0.445</v>
      </c>
      <c r="AA100">
        <v>1</v>
      </c>
      <c r="AB100">
        <v>0</v>
      </c>
      <c r="AC100">
        <v>0.00914</v>
      </c>
      <c r="AD100">
        <v>0</v>
      </c>
      <c r="AE100" t="s">
        <v>42</v>
      </c>
      <c r="AF100" t="s">
        <v>42</v>
      </c>
      <c r="AG100" t="s">
        <v>42</v>
      </c>
      <c r="AH100" t="s">
        <v>42</v>
      </c>
      <c r="AI100" s="27" t="s">
        <v>146</v>
      </c>
      <c r="AJ100" s="113" t="s">
        <v>63</v>
      </c>
      <c r="AK100" s="38" t="s">
        <v>45</v>
      </c>
    </row>
    <row r="101" spans="1:39">
      <c r="A101" s="41" t="s">
        <v>642</v>
      </c>
      <c r="B101" s="42" t="s">
        <v>643</v>
      </c>
      <c r="C101" s="43" t="s">
        <v>644</v>
      </c>
      <c r="D101" s="28" t="s">
        <v>438</v>
      </c>
      <c r="F101" s="124" t="s">
        <v>645</v>
      </c>
      <c r="G101" t="s">
        <v>646</v>
      </c>
      <c r="H101" s="27" t="s">
        <v>37</v>
      </c>
      <c r="I101" s="27">
        <v>5040</v>
      </c>
      <c r="J101"/>
      <c r="K101"/>
      <c r="L101"/>
      <c r="M101">
        <v>0.00674</v>
      </c>
      <c r="N101" s="27" t="s">
        <v>442</v>
      </c>
      <c r="P101" s="124" t="s">
        <v>645</v>
      </c>
      <c r="Q101" s="27" t="s">
        <v>647</v>
      </c>
      <c r="R101" s="27">
        <v>5040</v>
      </c>
      <c r="S101" s="27">
        <v>25592</v>
      </c>
      <c r="U101" s="27" t="s">
        <v>648</v>
      </c>
      <c r="V101" t="s">
        <v>646</v>
      </c>
      <c r="W101"/>
      <c r="X101" s="27" t="s">
        <v>37</v>
      </c>
      <c r="Y101" s="27" t="s">
        <v>216</v>
      </c>
      <c r="Z101">
        <v>0.538</v>
      </c>
      <c r="AA101">
        <v>0.615</v>
      </c>
      <c r="AB101">
        <v>95.8</v>
      </c>
      <c r="AC101">
        <v>0.00674</v>
      </c>
      <c r="AD101">
        <v>1237</v>
      </c>
      <c r="AE101" t="s">
        <v>42</v>
      </c>
      <c r="AF101" t="s">
        <v>42</v>
      </c>
      <c r="AG101" t="s">
        <v>42</v>
      </c>
      <c r="AH101" t="s">
        <v>42</v>
      </c>
      <c r="AI101" s="27" t="s">
        <v>83</v>
      </c>
      <c r="AJ101" s="113" t="s">
        <v>63</v>
      </c>
      <c r="AK101" s="49" t="s">
        <v>62</v>
      </c>
    </row>
    <row r="102" spans="1:39">
      <c r="A102" s="41" t="s">
        <v>649</v>
      </c>
      <c r="B102" s="42" t="s">
        <v>650</v>
      </c>
      <c r="C102" s="34" t="s">
        <v>651</v>
      </c>
      <c r="D102" s="27" t="s">
        <v>33</v>
      </c>
      <c r="F102" s="124" t="s">
        <v>652</v>
      </c>
      <c r="G102" t="s">
        <v>653</v>
      </c>
      <c r="H102" s="27" t="s">
        <v>37</v>
      </c>
      <c r="I102" s="27">
        <v>298</v>
      </c>
      <c r="J102"/>
      <c r="K102"/>
      <c r="L102"/>
      <c r="M102">
        <v>0.595</v>
      </c>
      <c r="N102" s="27" t="s">
        <v>38</v>
      </c>
      <c r="P102" s="124" t="s">
        <v>652</v>
      </c>
      <c r="Q102" s="27" t="s">
        <v>654</v>
      </c>
      <c r="R102" s="27">
        <v>298</v>
      </c>
      <c r="S102" s="27">
        <v>6173</v>
      </c>
      <c r="U102" s="27" t="s">
        <v>655</v>
      </c>
      <c r="V102" t="s">
        <v>653</v>
      </c>
      <c r="W102"/>
      <c r="X102" s="27" t="s">
        <v>37</v>
      </c>
      <c r="Y102" s="27" t="s">
        <v>216</v>
      </c>
      <c r="Z102">
        <v>0.334</v>
      </c>
      <c r="AA102">
        <v>1</v>
      </c>
      <c r="AB102">
        <v>11.6</v>
      </c>
      <c r="AC102">
        <v>0.595</v>
      </c>
      <c r="AD102" t="s">
        <v>42</v>
      </c>
      <c r="AE102">
        <v>69</v>
      </c>
      <c r="AF102">
        <v>4</v>
      </c>
      <c r="AG102">
        <v>143</v>
      </c>
      <c r="AH102">
        <v>6</v>
      </c>
      <c r="AI102" s="27" t="s">
        <v>43</v>
      </c>
      <c r="AJ102" s="113" t="s">
        <v>44</v>
      </c>
      <c r="AK102" s="38" t="s">
        <v>45</v>
      </c>
    </row>
    <row r="103" spans="1:39">
      <c r="A103" s="41" t="s">
        <v>656</v>
      </c>
      <c r="B103" s="42" t="s">
        <v>650</v>
      </c>
      <c r="C103" s="34" t="s">
        <v>651</v>
      </c>
      <c r="D103" s="28" t="s">
        <v>562</v>
      </c>
      <c r="F103" s="124" t="s">
        <v>652</v>
      </c>
      <c r="G103" t="s">
        <v>657</v>
      </c>
      <c r="H103" s="27" t="s">
        <v>37</v>
      </c>
      <c r="I103" s="27">
        <v>248</v>
      </c>
      <c r="J103"/>
      <c r="K103"/>
      <c r="L103"/>
      <c r="M103">
        <v>0.499</v>
      </c>
      <c r="N103" s="27" t="s">
        <v>658</v>
      </c>
      <c r="P103" s="124" t="s">
        <v>652</v>
      </c>
      <c r="Q103" s="27" t="s">
        <v>659</v>
      </c>
      <c r="R103" s="27">
        <v>248</v>
      </c>
      <c r="S103" s="27">
        <v>6073</v>
      </c>
      <c r="U103" s="27" t="s">
        <v>660</v>
      </c>
      <c r="V103" t="s">
        <v>657</v>
      </c>
      <c r="W103"/>
      <c r="X103" s="27" t="s">
        <v>37</v>
      </c>
      <c r="Y103" s="27" t="s">
        <v>216</v>
      </c>
      <c r="Z103">
        <v>0.179</v>
      </c>
      <c r="AA103">
        <v>1</v>
      </c>
      <c r="AB103">
        <v>0</v>
      </c>
      <c r="AC103">
        <v>0.499</v>
      </c>
      <c r="AD103" t="s">
        <v>42</v>
      </c>
      <c r="AE103">
        <v>32</v>
      </c>
      <c r="AF103">
        <v>43</v>
      </c>
      <c r="AG103">
        <v>69</v>
      </c>
      <c r="AH103">
        <v>74</v>
      </c>
      <c r="AI103" s="27" t="s">
        <v>43</v>
      </c>
      <c r="AJ103" s="113" t="s">
        <v>44</v>
      </c>
      <c r="AK103" s="38" t="s">
        <v>45</v>
      </c>
    </row>
    <row r="104" spans="1:39">
      <c r="A104" s="41" t="s">
        <v>661</v>
      </c>
      <c r="B104" s="42" t="s">
        <v>662</v>
      </c>
      <c r="C104" s="27" t="s">
        <v>663</v>
      </c>
      <c r="D104" s="28" t="s">
        <v>438</v>
      </c>
      <c r="F104" s="124" t="s">
        <v>430</v>
      </c>
      <c r="G104" t="s">
        <v>664</v>
      </c>
      <c r="H104" s="27" t="s">
        <v>37</v>
      </c>
      <c r="I104" s="27" t="s">
        <v>665</v>
      </c>
      <c r="J104"/>
      <c r="K104"/>
      <c r="L104"/>
      <c r="M104" s="123" t="s">
        <v>666</v>
      </c>
      <c r="N104" s="27" t="s">
        <v>442</v>
      </c>
      <c r="P104" s="124" t="s">
        <v>430</v>
      </c>
      <c r="Q104" s="27" t="s">
        <v>667</v>
      </c>
      <c r="R104" s="27" t="s">
        <v>665</v>
      </c>
      <c r="S104" s="27">
        <v>112422</v>
      </c>
      <c r="U104" s="27" t="s">
        <v>668</v>
      </c>
      <c r="V104" t="s">
        <v>664</v>
      </c>
      <c r="W104"/>
      <c r="X104" s="27" t="s">
        <v>37</v>
      </c>
      <c r="Y104" s="27" t="s">
        <v>216</v>
      </c>
      <c r="Z104">
        <v>0.785</v>
      </c>
      <c r="AA104">
        <v>0.544</v>
      </c>
      <c r="AB104">
        <v>54.5</v>
      </c>
      <c r="AC104" s="123" t="s">
        <v>666</v>
      </c>
      <c r="AD104">
        <v>701</v>
      </c>
      <c r="AE104" t="s">
        <v>42</v>
      </c>
      <c r="AF104" t="s">
        <v>42</v>
      </c>
      <c r="AG104" t="s">
        <v>42</v>
      </c>
      <c r="AH104" t="s">
        <v>42</v>
      </c>
      <c r="AI104" s="27" t="s">
        <v>83</v>
      </c>
      <c r="AJ104" s="113" t="s">
        <v>111</v>
      </c>
      <c r="AK104" s="38" t="s">
        <v>45</v>
      </c>
    </row>
    <row r="105" spans="1:39">
      <c r="A105" s="41" t="s">
        <v>669</v>
      </c>
      <c r="B105" s="42" t="s">
        <v>670</v>
      </c>
      <c r="C105" s="27" t="s">
        <v>671</v>
      </c>
      <c r="D105" s="28" t="s">
        <v>438</v>
      </c>
      <c r="F105" s="124" t="s">
        <v>672</v>
      </c>
      <c r="G105" t="s">
        <v>673</v>
      </c>
      <c r="H105" s="27" t="s">
        <v>79</v>
      </c>
      <c r="I105" s="27" t="s">
        <v>107</v>
      </c>
      <c r="J105"/>
      <c r="K105"/>
      <c r="L105"/>
      <c r="M105" s="123" t="s">
        <v>674</v>
      </c>
      <c r="N105" s="27" t="s">
        <v>442</v>
      </c>
      <c r="P105" s="124" t="s">
        <v>672</v>
      </c>
      <c r="Q105" s="27" t="s">
        <v>675</v>
      </c>
      <c r="R105" s="27" t="s">
        <v>107</v>
      </c>
      <c r="S105" s="27">
        <v>115080</v>
      </c>
      <c r="U105" s="27" t="s">
        <v>676</v>
      </c>
      <c r="V105" t="s">
        <v>673</v>
      </c>
      <c r="W105"/>
      <c r="X105" s="27" t="s">
        <v>79</v>
      </c>
      <c r="Y105" s="27" t="s">
        <v>216</v>
      </c>
      <c r="Z105">
        <v>0.0815</v>
      </c>
      <c r="AA105">
        <v>0.484</v>
      </c>
      <c r="AB105">
        <v>78.7</v>
      </c>
      <c r="AC105" s="123" t="s">
        <v>674</v>
      </c>
      <c r="AD105">
        <v>1855</v>
      </c>
      <c r="AE105" t="s">
        <v>42</v>
      </c>
      <c r="AF105" t="s">
        <v>42</v>
      </c>
      <c r="AG105" t="s">
        <v>42</v>
      </c>
      <c r="AH105" t="s">
        <v>42</v>
      </c>
      <c r="AI105" s="27" t="s">
        <v>110</v>
      </c>
      <c r="AJ105" s="113" t="s">
        <v>111</v>
      </c>
      <c r="AK105" s="38" t="s">
        <v>45</v>
      </c>
    </row>
    <row r="106" spans="1:39">
      <c r="A106" s="41" t="s">
        <v>677</v>
      </c>
      <c r="B106" s="42" t="s">
        <v>678</v>
      </c>
      <c r="C106" s="27" t="s">
        <v>679</v>
      </c>
      <c r="D106" s="28" t="s">
        <v>680</v>
      </c>
      <c r="F106" s="122" t="s">
        <v>681</v>
      </c>
      <c r="G106" t="s">
        <v>682</v>
      </c>
      <c r="H106" s="27" t="s">
        <v>79</v>
      </c>
      <c r="I106" s="27" t="s">
        <v>683</v>
      </c>
      <c r="J106"/>
      <c r="K106"/>
      <c r="L106"/>
      <c r="M106">
        <v>0.000873</v>
      </c>
      <c r="N106" s="27" t="s">
        <v>684</v>
      </c>
      <c r="P106" s="122" t="s">
        <v>681</v>
      </c>
      <c r="Q106" s="27" t="s">
        <v>685</v>
      </c>
      <c r="R106" s="27" t="s">
        <v>683</v>
      </c>
      <c r="S106" s="27">
        <v>972444</v>
      </c>
      <c r="U106" s="27" t="s">
        <v>686</v>
      </c>
      <c r="V106" t="s">
        <v>682</v>
      </c>
      <c r="W106"/>
      <c r="X106" s="27" t="s">
        <v>79</v>
      </c>
      <c r="Y106" s="27" t="s">
        <v>216</v>
      </c>
      <c r="Z106">
        <v>0.217</v>
      </c>
      <c r="AA106">
        <v>0.6</v>
      </c>
      <c r="AB106">
        <v>91.8</v>
      </c>
      <c r="AC106">
        <v>0.000873</v>
      </c>
      <c r="AD106">
        <v>1556</v>
      </c>
      <c r="AE106" t="s">
        <v>42</v>
      </c>
      <c r="AF106" t="s">
        <v>42</v>
      </c>
      <c r="AG106" t="s">
        <v>42</v>
      </c>
      <c r="AH106" t="s">
        <v>42</v>
      </c>
      <c r="AI106" s="27" t="s">
        <v>62</v>
      </c>
      <c r="AJ106" s="113" t="s">
        <v>52</v>
      </c>
      <c r="AK106" s="38" t="s">
        <v>45</v>
      </c>
    </row>
    <row r="107" spans="1:39">
      <c r="A107" s="41" t="s">
        <v>687</v>
      </c>
      <c r="B107" s="42" t="s">
        <v>688</v>
      </c>
      <c r="C107" s="27" t="s">
        <v>689</v>
      </c>
      <c r="D107" s="27" t="s">
        <v>438</v>
      </c>
      <c r="E107" s="59"/>
      <c r="F107" s="124" t="s">
        <v>530</v>
      </c>
      <c r="G107" t="s">
        <v>690</v>
      </c>
      <c r="H107" s="27" t="s">
        <v>691</v>
      </c>
      <c r="I107" s="59">
        <v>20317</v>
      </c>
      <c r="J107"/>
      <c r="K107"/>
      <c r="L107"/>
      <c r="M107">
        <v>0.00656</v>
      </c>
      <c r="N107" s="27" t="s">
        <v>442</v>
      </c>
      <c r="O107" s="59"/>
      <c r="P107" s="124" t="s">
        <v>530</v>
      </c>
      <c r="Q107" s="59">
        <v>20317</v>
      </c>
      <c r="R107" s="59">
        <v>20317</v>
      </c>
      <c r="U107" s="122" t="s">
        <v>692</v>
      </c>
      <c r="V107" t="s">
        <v>690</v>
      </c>
      <c r="W107"/>
      <c r="X107" s="27" t="s">
        <v>691</v>
      </c>
      <c r="Y107" s="27" t="s">
        <v>216</v>
      </c>
      <c r="Z107">
        <v>0.692</v>
      </c>
      <c r="AA107">
        <v>0.739</v>
      </c>
      <c r="AB107">
        <v>82.1</v>
      </c>
      <c r="AC107">
        <v>0.00656</v>
      </c>
      <c r="AD107">
        <v>214</v>
      </c>
      <c r="AE107" t="s">
        <v>42</v>
      </c>
      <c r="AF107" t="s">
        <v>42</v>
      </c>
      <c r="AG107" t="s">
        <v>42</v>
      </c>
      <c r="AH107" t="s">
        <v>42</v>
      </c>
      <c r="AI107" s="27" t="s">
        <v>110</v>
      </c>
      <c r="AJ107" s="113" t="s">
        <v>63</v>
      </c>
      <c r="AK107" s="38" t="s">
        <v>45</v>
      </c>
    </row>
    <row r="108" spans="1:39">
      <c r="B108" s="29" t="s">
        <v>693</v>
      </c>
      <c r="E108"/>
      <c r="O108"/>
      <c r="AK108" s="106"/>
    </row>
    <row r="109" spans="1:39">
      <c r="A109" s="33" t="s">
        <v>694</v>
      </c>
      <c r="B109" s="42" t="s">
        <v>695</v>
      </c>
      <c r="C109" s="43" t="s">
        <v>696</v>
      </c>
      <c r="D109" s="27" t="s">
        <v>438</v>
      </c>
      <c r="E109" s="27" t="s">
        <v>67</v>
      </c>
      <c r="F109" s="118" t="s">
        <v>697</v>
      </c>
      <c r="G109" t="s">
        <v>488</v>
      </c>
      <c r="H109" s="27" t="s">
        <v>79</v>
      </c>
      <c r="I109" s="27">
        <v>21740</v>
      </c>
      <c r="J109" s="119">
        <v>0.836</v>
      </c>
      <c r="K109" s="119">
        <v>1.837</v>
      </c>
      <c r="L109" s="119" t="b">
        <v>1</v>
      </c>
      <c r="M109" s="123" t="s">
        <v>698</v>
      </c>
      <c r="N109" s="27" t="s">
        <v>442</v>
      </c>
      <c r="O109" s="27" t="s">
        <v>67</v>
      </c>
      <c r="P109" s="118" t="s">
        <v>697</v>
      </c>
      <c r="Q109" s="27" t="s">
        <v>699</v>
      </c>
      <c r="R109" s="27">
        <v>21740</v>
      </c>
      <c r="S109" s="27">
        <v>59236</v>
      </c>
      <c r="U109" s="27" t="s">
        <v>700</v>
      </c>
      <c r="V109" t="s">
        <v>488</v>
      </c>
      <c r="W109"/>
      <c r="X109" s="27" t="s">
        <v>79</v>
      </c>
      <c r="Y109" s="27" t="s">
        <v>41</v>
      </c>
      <c r="Z109">
        <v>0.000541</v>
      </c>
      <c r="AA109" s="36">
        <v>0.91</v>
      </c>
      <c r="AB109">
        <v>46.5</v>
      </c>
      <c r="AC109" s="123" t="s">
        <v>698</v>
      </c>
      <c r="AD109">
        <v>2301</v>
      </c>
      <c r="AE109" t="s">
        <v>42</v>
      </c>
      <c r="AF109" t="s">
        <v>42</v>
      </c>
      <c r="AG109" t="s">
        <v>42</v>
      </c>
      <c r="AH109" t="s">
        <v>42</v>
      </c>
      <c r="AI109" s="27" t="s">
        <v>146</v>
      </c>
      <c r="AJ109" s="113" t="s">
        <v>111</v>
      </c>
      <c r="AK109" s="49" t="s">
        <v>62</v>
      </c>
    </row>
    <row r="110" spans="1:39">
      <c r="A110" s="33" t="s">
        <v>701</v>
      </c>
      <c r="B110" s="42" t="s">
        <v>702</v>
      </c>
      <c r="C110" s="43" t="s">
        <v>703</v>
      </c>
      <c r="D110" s="27" t="s">
        <v>438</v>
      </c>
      <c r="E110" s="27" t="s">
        <v>67</v>
      </c>
      <c r="F110" s="118" t="s">
        <v>704</v>
      </c>
      <c r="G110" s="40" t="s">
        <v>347</v>
      </c>
      <c r="H110" s="27" t="s">
        <v>79</v>
      </c>
      <c r="I110" s="27" t="s">
        <v>705</v>
      </c>
      <c r="J110" s="7"/>
      <c r="K110" s="7"/>
      <c r="L110" s="7"/>
      <c r="M110" s="7">
        <v>2.27e-6</v>
      </c>
      <c r="N110" s="27" t="s">
        <v>442</v>
      </c>
      <c r="O110" s="27" t="s">
        <v>67</v>
      </c>
      <c r="P110" s="118" t="s">
        <v>704</v>
      </c>
      <c r="Q110" s="27" t="s">
        <v>706</v>
      </c>
      <c r="R110" s="27" t="s">
        <v>705</v>
      </c>
      <c r="S110" s="27">
        <v>66926</v>
      </c>
      <c r="U110" s="27" t="s">
        <v>707</v>
      </c>
      <c r="V110" s="40" t="s">
        <v>347</v>
      </c>
      <c r="W110" s="40"/>
      <c r="X110" s="27" t="s">
        <v>79</v>
      </c>
      <c r="Y110" s="27" t="s">
        <v>41</v>
      </c>
      <c r="Z110" s="40">
        <v>5.09e-5</v>
      </c>
      <c r="AA110" s="40">
        <v>0.755</v>
      </c>
      <c r="AB110" s="40">
        <v>77.9</v>
      </c>
      <c r="AC110" s="40">
        <v>2.27e-6</v>
      </c>
      <c r="AD110" s="40">
        <v>1484</v>
      </c>
      <c r="AE110" t="s">
        <v>42</v>
      </c>
      <c r="AF110" t="s">
        <v>42</v>
      </c>
      <c r="AG110" t="s">
        <v>42</v>
      </c>
      <c r="AH110" t="s">
        <v>42</v>
      </c>
      <c r="AI110" s="27" t="s">
        <v>62</v>
      </c>
      <c r="AJ110" s="113" t="s">
        <v>52</v>
      </c>
      <c r="AK110" s="49" t="s">
        <v>45</v>
      </c>
    </row>
    <row r="111" spans="1:39">
      <c r="A111" s="33" t="s">
        <v>708</v>
      </c>
      <c r="B111" s="42" t="s">
        <v>709</v>
      </c>
      <c r="C111" s="43" t="s">
        <v>710</v>
      </c>
      <c r="D111" s="27" t="s">
        <v>438</v>
      </c>
      <c r="E111" s="27" t="s">
        <v>67</v>
      </c>
      <c r="F111" s="122" t="s">
        <v>569</v>
      </c>
      <c r="G111" t="s">
        <v>711</v>
      </c>
      <c r="H111" s="27" t="s">
        <v>79</v>
      </c>
      <c r="I111" s="27">
        <v>5352</v>
      </c>
      <c r="J111"/>
      <c r="K111"/>
      <c r="L111"/>
      <c r="M111" s="123" t="s">
        <v>712</v>
      </c>
      <c r="N111" s="27" t="s">
        <v>442</v>
      </c>
      <c r="O111" s="27" t="s">
        <v>67</v>
      </c>
      <c r="P111" s="122" t="s">
        <v>569</v>
      </c>
      <c r="Q111" s="27" t="s">
        <v>713</v>
      </c>
      <c r="R111" s="27">
        <v>5352</v>
      </c>
      <c r="S111" s="27">
        <v>865192</v>
      </c>
      <c r="U111" s="27" t="s">
        <v>714</v>
      </c>
      <c r="V111" t="s">
        <v>711</v>
      </c>
      <c r="W111"/>
      <c r="X111" s="27" t="s">
        <v>79</v>
      </c>
      <c r="Y111" s="27" t="s">
        <v>41</v>
      </c>
      <c r="Z111">
        <v>0.317</v>
      </c>
      <c r="AA111" s="36">
        <v>0.558</v>
      </c>
      <c r="AB111">
        <v>70.3</v>
      </c>
      <c r="AC111" s="123" t="s">
        <v>712</v>
      </c>
      <c r="AD111">
        <v>378</v>
      </c>
      <c r="AE111" t="s">
        <v>42</v>
      </c>
      <c r="AF111" t="s">
        <v>42</v>
      </c>
      <c r="AG111" t="s">
        <v>42</v>
      </c>
      <c r="AH111" t="s">
        <v>42</v>
      </c>
      <c r="AI111" s="27" t="s">
        <v>62</v>
      </c>
      <c r="AJ111" s="113" t="s">
        <v>52</v>
      </c>
      <c r="AK111" s="49" t="s">
        <v>45</v>
      </c>
    </row>
    <row r="112" spans="1:39">
      <c r="A112" s="39" t="s">
        <v>715</v>
      </c>
      <c r="B112" s="27" t="s">
        <v>716</v>
      </c>
      <c r="C112" s="27" t="s">
        <v>717</v>
      </c>
      <c r="D112" s="27" t="s">
        <v>33</v>
      </c>
      <c r="F112" s="27" t="s">
        <v>343</v>
      </c>
      <c r="G112" s="40" t="s">
        <v>718</v>
      </c>
      <c r="H112" s="27" t="s">
        <v>37</v>
      </c>
      <c r="I112" s="27">
        <v>368</v>
      </c>
      <c r="J112" s="40"/>
      <c r="K112" s="40"/>
      <c r="L112" s="40"/>
      <c r="M112" s="40">
        <v>0.193</v>
      </c>
      <c r="N112" s="27" t="s">
        <v>38</v>
      </c>
      <c r="P112" s="27" t="s">
        <v>343</v>
      </c>
      <c r="Q112" s="27" t="s">
        <v>719</v>
      </c>
      <c r="R112" s="27">
        <v>368</v>
      </c>
      <c r="S112" s="27">
        <v>9217</v>
      </c>
      <c r="U112" s="27" t="s">
        <v>720</v>
      </c>
      <c r="V112" s="40" t="s">
        <v>718</v>
      </c>
      <c r="W112" s="40"/>
      <c r="X112" s="27" t="s">
        <v>37</v>
      </c>
      <c r="Y112" s="27" t="s">
        <v>41</v>
      </c>
      <c r="Z112" s="40">
        <v>0.398</v>
      </c>
      <c r="AA112" s="40">
        <v>1</v>
      </c>
      <c r="AB112" s="40">
        <v>0</v>
      </c>
      <c r="AC112" s="40">
        <v>0.193</v>
      </c>
      <c r="AD112" s="27"/>
      <c r="AE112" s="40">
        <v>28</v>
      </c>
      <c r="AF112" s="40">
        <v>36</v>
      </c>
      <c r="AG112" s="40">
        <v>59</v>
      </c>
      <c r="AH112" s="40">
        <v>78</v>
      </c>
      <c r="AI112" s="27" t="s">
        <v>110</v>
      </c>
      <c r="AJ112" s="113" t="s">
        <v>44</v>
      </c>
      <c r="AK112" s="38" t="s">
        <v>45</v>
      </c>
    </row>
    <row r="113" s="48" customFormat="1" spans="1:39">
      <c r="A113" s="34" t="s">
        <v>721</v>
      </c>
      <c r="B113" s="45" t="s">
        <v>722</v>
      </c>
      <c r="C113" s="34" t="s">
        <v>717</v>
      </c>
      <c r="D113" s="34" t="s">
        <v>33</v>
      </c>
      <c r="E113" s="34"/>
      <c r="F113" s="126" t="s">
        <v>723</v>
      </c>
      <c r="H113" s="34" t="s">
        <v>37</v>
      </c>
      <c r="I113" s="34">
        <v>1036</v>
      </c>
      <c r="M113" s="48">
        <v>0.057</v>
      </c>
      <c r="N113" s="34" t="s">
        <v>38</v>
      </c>
      <c r="O113" s="34"/>
      <c r="P113" s="126" t="s">
        <v>723</v>
      </c>
      <c r="Q113" s="34" t="s">
        <v>724</v>
      </c>
      <c r="R113" s="34">
        <v>1036</v>
      </c>
      <c r="S113" s="47">
        <v>1454080</v>
      </c>
      <c r="T113" s="47"/>
      <c r="U113" s="47" t="s">
        <v>725</v>
      </c>
      <c r="W113" s="48">
        <v>1</v>
      </c>
      <c r="X113" s="34" t="s">
        <v>37</v>
      </c>
      <c r="Y113" s="34" t="s">
        <v>41</v>
      </c>
      <c r="Z113" s="48">
        <v>0.139</v>
      </c>
      <c r="AA113" s="48">
        <v>0.76</v>
      </c>
      <c r="AB113" s="48">
        <v>21.7</v>
      </c>
      <c r="AC113" s="48">
        <v>0.057</v>
      </c>
      <c r="AD113" s="48" t="s">
        <v>42</v>
      </c>
      <c r="AE113" s="48">
        <v>0</v>
      </c>
      <c r="AF113" s="48">
        <v>0</v>
      </c>
      <c r="AG113" s="48">
        <v>4</v>
      </c>
      <c r="AH113" s="48">
        <v>2</v>
      </c>
      <c r="AI113" s="34" t="s">
        <v>110</v>
      </c>
      <c r="AJ113" s="113" t="s">
        <v>44</v>
      </c>
      <c r="AK113" s="49" t="s">
        <v>45</v>
      </c>
    </row>
    <row r="114" spans="1:39">
      <c r="A114" s="39" t="s">
        <v>726</v>
      </c>
      <c r="B114" s="42" t="s">
        <v>727</v>
      </c>
      <c r="C114" s="27" t="s">
        <v>728</v>
      </c>
      <c r="D114" s="27" t="s">
        <v>33</v>
      </c>
      <c r="F114" s="27" t="s">
        <v>729</v>
      </c>
      <c r="G114" s="40" t="s">
        <v>730</v>
      </c>
      <c r="H114" s="27" t="s">
        <v>37</v>
      </c>
      <c r="I114" s="59">
        <v>9167</v>
      </c>
      <c r="J114" s="40"/>
      <c r="K114" s="40"/>
      <c r="L114" s="40"/>
      <c r="M114" s="40">
        <v>0.544</v>
      </c>
      <c r="N114" s="27" t="s">
        <v>38</v>
      </c>
      <c r="P114" s="27" t="s">
        <v>729</v>
      </c>
      <c r="Q114" s="27" t="s">
        <v>731</v>
      </c>
      <c r="R114" s="59">
        <v>9167</v>
      </c>
      <c r="S114" s="59">
        <v>1440542</v>
      </c>
      <c r="U114" s="27" t="s">
        <v>732</v>
      </c>
      <c r="V114" s="40" t="s">
        <v>730</v>
      </c>
      <c r="W114" s="40"/>
      <c r="X114" s="27" t="s">
        <v>37</v>
      </c>
      <c r="Y114" s="27" t="s">
        <v>216</v>
      </c>
      <c r="Z114" s="40">
        <v>0.0902</v>
      </c>
      <c r="AA114" s="40">
        <v>0.58</v>
      </c>
      <c r="AB114" s="40">
        <v>52.8</v>
      </c>
      <c r="AC114" s="40">
        <v>0.544</v>
      </c>
      <c r="AD114" s="27"/>
      <c r="AE114" s="40">
        <v>156</v>
      </c>
      <c r="AF114" s="40">
        <v>430</v>
      </c>
      <c r="AG114" s="40">
        <v>332</v>
      </c>
      <c r="AH114" s="40">
        <v>799</v>
      </c>
      <c r="AI114" s="27" t="s">
        <v>110</v>
      </c>
      <c r="AJ114" s="113" t="s">
        <v>44</v>
      </c>
      <c r="AK114" s="38" t="s">
        <v>45</v>
      </c>
    </row>
    <row r="115" spans="1:39">
      <c r="A115" s="41" t="s">
        <v>733</v>
      </c>
      <c r="B115" s="42" t="s">
        <v>727</v>
      </c>
      <c r="C115" s="27" t="s">
        <v>734</v>
      </c>
      <c r="D115" s="34" t="s">
        <v>735</v>
      </c>
      <c r="F115" s="27" t="s">
        <v>419</v>
      </c>
      <c r="G115" t="s">
        <v>736</v>
      </c>
      <c r="H115" s="27" t="s">
        <v>37</v>
      </c>
      <c r="I115" s="27">
        <v>7521</v>
      </c>
      <c r="J115"/>
      <c r="K115"/>
      <c r="L115"/>
      <c r="M115">
        <v>0.864</v>
      </c>
      <c r="N115" s="34" t="s">
        <v>737</v>
      </c>
      <c r="P115" s="27" t="s">
        <v>419</v>
      </c>
      <c r="Q115" s="27" t="s">
        <v>738</v>
      </c>
      <c r="R115" s="27">
        <v>7521</v>
      </c>
      <c r="S115" s="27">
        <v>18486</v>
      </c>
      <c r="U115" s="27" t="s">
        <v>739</v>
      </c>
      <c r="V115" t="s">
        <v>736</v>
      </c>
      <c r="W115"/>
      <c r="X115" s="27" t="s">
        <v>37</v>
      </c>
      <c r="Y115" s="27" t="s">
        <v>216</v>
      </c>
      <c r="Z115">
        <v>0.898</v>
      </c>
      <c r="AA115">
        <v>0.575</v>
      </c>
      <c r="AB115">
        <v>0</v>
      </c>
      <c r="AC115">
        <v>0.864</v>
      </c>
      <c r="AD115" t="s">
        <v>42</v>
      </c>
      <c r="AE115">
        <v>4114</v>
      </c>
      <c r="AF115">
        <v>179</v>
      </c>
      <c r="AG115" t="s">
        <v>159</v>
      </c>
      <c r="AH115">
        <v>346</v>
      </c>
      <c r="AI115" s="27" t="s">
        <v>110</v>
      </c>
      <c r="AJ115" s="113" t="s">
        <v>44</v>
      </c>
      <c r="AK115" s="38" t="s">
        <v>45</v>
      </c>
    </row>
    <row r="116" spans="1:39">
      <c r="A116" s="41" t="s">
        <v>740</v>
      </c>
      <c r="B116" s="42" t="s">
        <v>727</v>
      </c>
      <c r="C116" s="27" t="s">
        <v>741</v>
      </c>
      <c r="D116" s="34" t="s">
        <v>742</v>
      </c>
      <c r="F116" s="27" t="s">
        <v>743</v>
      </c>
      <c r="G116" t="s">
        <v>744</v>
      </c>
      <c r="H116" s="27" t="s">
        <v>37</v>
      </c>
      <c r="I116" s="27">
        <v>8088</v>
      </c>
      <c r="J116"/>
      <c r="K116"/>
      <c r="L116"/>
      <c r="M116">
        <v>0.00103</v>
      </c>
      <c r="N116" s="34" t="s">
        <v>745</v>
      </c>
      <c r="P116" s="27" t="s">
        <v>743</v>
      </c>
      <c r="Q116" s="27" t="s">
        <v>746</v>
      </c>
      <c r="R116" s="27">
        <v>8088</v>
      </c>
      <c r="S116" s="27">
        <v>25805</v>
      </c>
      <c r="U116" s="27" t="s">
        <v>686</v>
      </c>
      <c r="V116" t="s">
        <v>744</v>
      </c>
      <c r="W116"/>
      <c r="X116" s="27" t="s">
        <v>37</v>
      </c>
      <c r="Y116" s="27" t="s">
        <v>41</v>
      </c>
      <c r="Z116">
        <v>0.00913</v>
      </c>
      <c r="AA116">
        <v>0.392</v>
      </c>
      <c r="AB116">
        <v>2</v>
      </c>
      <c r="AC116">
        <v>0.00103</v>
      </c>
      <c r="AD116">
        <v>90</v>
      </c>
      <c r="AE116" t="s">
        <v>42</v>
      </c>
      <c r="AF116" t="s">
        <v>42</v>
      </c>
      <c r="AG116" t="s">
        <v>42</v>
      </c>
      <c r="AH116" t="s">
        <v>42</v>
      </c>
      <c r="AI116" s="27" t="s">
        <v>110</v>
      </c>
      <c r="AJ116" s="113" t="s">
        <v>63</v>
      </c>
      <c r="AK116" s="38" t="s">
        <v>45</v>
      </c>
    </row>
    <row r="117" spans="1:39">
      <c r="A117" s="33" t="s">
        <v>747</v>
      </c>
      <c r="B117" s="42" t="s">
        <v>748</v>
      </c>
      <c r="C117" s="27" t="s">
        <v>749</v>
      </c>
      <c r="D117" s="27" t="s">
        <v>750</v>
      </c>
      <c r="E117" s="27" t="s">
        <v>751</v>
      </c>
      <c r="F117" s="122" t="s">
        <v>338</v>
      </c>
      <c r="G117" s="40" t="s">
        <v>752</v>
      </c>
      <c r="H117" s="27" t="s">
        <v>79</v>
      </c>
      <c r="I117" s="27">
        <v>2936</v>
      </c>
      <c r="J117" s="40"/>
      <c r="K117" s="40"/>
      <c r="L117" s="40"/>
      <c r="M117" s="40">
        <v>0.145</v>
      </c>
      <c r="N117" s="27" t="s">
        <v>753</v>
      </c>
      <c r="O117" s="27" t="s">
        <v>751</v>
      </c>
      <c r="P117" s="122" t="s">
        <v>338</v>
      </c>
      <c r="Q117" s="27" t="s">
        <v>754</v>
      </c>
      <c r="R117" s="27">
        <v>2936</v>
      </c>
      <c r="S117" s="27">
        <v>7165</v>
      </c>
      <c r="U117" s="27" t="s">
        <v>755</v>
      </c>
      <c r="V117" s="40" t="s">
        <v>752</v>
      </c>
      <c r="W117" s="40"/>
      <c r="X117" s="27" t="s">
        <v>79</v>
      </c>
      <c r="Y117" s="27" t="s">
        <v>41</v>
      </c>
      <c r="Z117" s="40">
        <v>0.00544</v>
      </c>
      <c r="AA117" s="40">
        <v>0.725</v>
      </c>
      <c r="AB117" s="40">
        <v>56.2</v>
      </c>
      <c r="AC117" s="40">
        <v>0.145</v>
      </c>
      <c r="AD117" t="s">
        <v>42</v>
      </c>
      <c r="AE117" s="40">
        <v>1</v>
      </c>
      <c r="AF117" s="40">
        <v>1</v>
      </c>
      <c r="AG117" s="40">
        <v>7</v>
      </c>
      <c r="AH117" s="40">
        <v>6</v>
      </c>
      <c r="AI117" s="27" t="s">
        <v>62</v>
      </c>
      <c r="AJ117" s="113" t="s">
        <v>44</v>
      </c>
      <c r="AK117" s="49" t="s">
        <v>45</v>
      </c>
    </row>
    <row r="118" spans="1:39">
      <c r="A118" s="33" t="s">
        <v>756</v>
      </c>
      <c r="B118" s="42" t="s">
        <v>748</v>
      </c>
      <c r="C118" s="27" t="s">
        <v>749</v>
      </c>
      <c r="D118" s="27" t="s">
        <v>757</v>
      </c>
      <c r="E118" s="27" t="s">
        <v>758</v>
      </c>
      <c r="F118" s="122" t="s">
        <v>759</v>
      </c>
      <c r="G118" t="s">
        <v>760</v>
      </c>
      <c r="H118" s="27" t="s">
        <v>79</v>
      </c>
      <c r="I118" s="27">
        <v>2501</v>
      </c>
      <c r="J118"/>
      <c r="K118"/>
      <c r="L118"/>
      <c r="M118">
        <v>0.0433</v>
      </c>
      <c r="N118" s="27" t="s">
        <v>59</v>
      </c>
      <c r="O118" s="27" t="s">
        <v>758</v>
      </c>
      <c r="P118" s="122" t="s">
        <v>759</v>
      </c>
      <c r="Q118" s="27" t="s">
        <v>761</v>
      </c>
      <c r="R118" s="27">
        <v>2501</v>
      </c>
      <c r="S118" s="27">
        <v>7575</v>
      </c>
      <c r="U118" s="27" t="s">
        <v>762</v>
      </c>
      <c r="V118" t="s">
        <v>760</v>
      </c>
      <c r="W118"/>
      <c r="X118" s="27" t="s">
        <v>79</v>
      </c>
      <c r="Y118" s="27" t="s">
        <v>41</v>
      </c>
      <c r="Z118">
        <v>0.215</v>
      </c>
      <c r="AA118" s="36">
        <v>0.432</v>
      </c>
      <c r="AB118">
        <v>51.4</v>
      </c>
      <c r="AC118">
        <v>0.0433</v>
      </c>
      <c r="AD118">
        <v>18</v>
      </c>
      <c r="AE118" t="s">
        <v>42</v>
      </c>
      <c r="AF118" t="s">
        <v>42</v>
      </c>
      <c r="AG118" t="s">
        <v>42</v>
      </c>
      <c r="AH118" t="s">
        <v>42</v>
      </c>
      <c r="AI118" s="27" t="s">
        <v>62</v>
      </c>
      <c r="AJ118" s="113" t="s">
        <v>63</v>
      </c>
      <c r="AK118" s="49" t="s">
        <v>45</v>
      </c>
    </row>
    <row r="119" spans="1:39">
      <c r="A119" s="39" t="s">
        <v>763</v>
      </c>
      <c r="B119" s="27" t="s">
        <v>764</v>
      </c>
      <c r="C119" s="27" t="s">
        <v>728</v>
      </c>
      <c r="D119" s="27" t="s">
        <v>33</v>
      </c>
      <c r="F119" s="27" t="s">
        <v>765</v>
      </c>
      <c r="G119" s="40" t="s">
        <v>766</v>
      </c>
      <c r="H119" s="27" t="s">
        <v>37</v>
      </c>
      <c r="I119" s="59">
        <v>1925</v>
      </c>
      <c r="J119" s="40"/>
      <c r="K119" s="40"/>
      <c r="L119" s="40"/>
      <c r="M119" s="40">
        <v>0.845</v>
      </c>
      <c r="N119" s="27" t="s">
        <v>38</v>
      </c>
      <c r="P119" s="27" t="s">
        <v>765</v>
      </c>
      <c r="Q119" s="27" t="s">
        <v>767</v>
      </c>
      <c r="R119" s="59">
        <v>1925</v>
      </c>
      <c r="S119" s="59">
        <v>1440542</v>
      </c>
      <c r="U119" s="27" t="s">
        <v>768</v>
      </c>
      <c r="V119" s="40" t="s">
        <v>766</v>
      </c>
      <c r="W119" s="40"/>
      <c r="X119" s="27" t="s">
        <v>37</v>
      </c>
      <c r="Y119" s="27" t="s">
        <v>41</v>
      </c>
      <c r="Z119" s="40">
        <v>0.715</v>
      </c>
      <c r="AA119" s="40">
        <v>0.54</v>
      </c>
      <c r="AB119" s="40">
        <v>0</v>
      </c>
      <c r="AC119" s="40">
        <v>0.845</v>
      </c>
      <c r="AD119" s="27"/>
      <c r="AE119" s="40">
        <v>1036</v>
      </c>
      <c r="AF119" s="40">
        <v>32</v>
      </c>
      <c r="AG119" s="40" t="s">
        <v>159</v>
      </c>
      <c r="AH119" s="40">
        <v>56</v>
      </c>
      <c r="AI119" s="27" t="s">
        <v>110</v>
      </c>
      <c r="AJ119" s="113" t="s">
        <v>44</v>
      </c>
      <c r="AK119" s="38" t="s">
        <v>45</v>
      </c>
    </row>
    <row r="120" spans="1:39">
      <c r="A120" s="41" t="s">
        <v>769</v>
      </c>
      <c r="B120" s="42" t="s">
        <v>764</v>
      </c>
      <c r="C120" s="27" t="s">
        <v>734</v>
      </c>
      <c r="D120" s="34" t="s">
        <v>735</v>
      </c>
      <c r="F120" s="27" t="s">
        <v>770</v>
      </c>
      <c r="G120" t="s">
        <v>771</v>
      </c>
      <c r="H120" s="27" t="s">
        <v>37</v>
      </c>
      <c r="I120" s="27">
        <v>1093</v>
      </c>
      <c r="J120"/>
      <c r="K120"/>
      <c r="L120"/>
      <c r="M120">
        <v>0.16</v>
      </c>
      <c r="N120" s="34" t="s">
        <v>737</v>
      </c>
      <c r="P120" s="27" t="s">
        <v>770</v>
      </c>
      <c r="Q120" s="27" t="s">
        <v>772</v>
      </c>
      <c r="R120" s="27">
        <v>1093</v>
      </c>
      <c r="S120" s="27">
        <v>6554</v>
      </c>
      <c r="U120" s="27" t="s">
        <v>773</v>
      </c>
      <c r="V120" t="s">
        <v>771</v>
      </c>
      <c r="W120"/>
      <c r="X120" s="27" t="s">
        <v>37</v>
      </c>
      <c r="Y120" s="27" t="s">
        <v>216</v>
      </c>
      <c r="Z120">
        <v>0.79</v>
      </c>
      <c r="AA120">
        <v>1</v>
      </c>
      <c r="AB120">
        <v>0</v>
      </c>
      <c r="AC120">
        <v>0.16</v>
      </c>
      <c r="AD120" t="s">
        <v>42</v>
      </c>
      <c r="AE120">
        <v>10</v>
      </c>
      <c r="AF120">
        <v>32</v>
      </c>
      <c r="AG120">
        <v>33</v>
      </c>
      <c r="AH120">
        <v>107</v>
      </c>
      <c r="AI120" s="27" t="s">
        <v>110</v>
      </c>
      <c r="AJ120" s="113" t="s">
        <v>44</v>
      </c>
      <c r="AK120" s="38" t="s">
        <v>45</v>
      </c>
    </row>
    <row r="121" spans="1:39">
      <c r="A121" s="41" t="s">
        <v>774</v>
      </c>
      <c r="B121" s="42" t="s">
        <v>764</v>
      </c>
      <c r="C121" s="27" t="s">
        <v>734</v>
      </c>
      <c r="D121" s="34" t="s">
        <v>742</v>
      </c>
      <c r="F121" s="122" t="s">
        <v>775</v>
      </c>
      <c r="G121" t="s">
        <v>776</v>
      </c>
      <c r="H121" s="27" t="s">
        <v>37</v>
      </c>
      <c r="I121" s="27">
        <v>1093</v>
      </c>
      <c r="J121"/>
      <c r="K121"/>
      <c r="L121"/>
      <c r="M121">
        <v>0.236</v>
      </c>
      <c r="N121" s="34" t="s">
        <v>745</v>
      </c>
      <c r="P121" s="122" t="s">
        <v>775</v>
      </c>
      <c r="Q121" s="27" t="s">
        <v>772</v>
      </c>
      <c r="R121" s="27">
        <v>1093</v>
      </c>
      <c r="S121" s="27">
        <v>6554</v>
      </c>
      <c r="U121" s="27" t="s">
        <v>777</v>
      </c>
      <c r="V121" t="s">
        <v>776</v>
      </c>
      <c r="W121"/>
      <c r="X121" s="27" t="s">
        <v>37</v>
      </c>
      <c r="Y121" s="27" t="s">
        <v>216</v>
      </c>
      <c r="Z121">
        <v>0.196</v>
      </c>
      <c r="AA121">
        <v>0.644</v>
      </c>
      <c r="AB121">
        <v>46.8</v>
      </c>
      <c r="AC121">
        <v>0.236</v>
      </c>
      <c r="AD121" t="s">
        <v>42</v>
      </c>
      <c r="AE121">
        <v>12</v>
      </c>
      <c r="AF121">
        <v>46</v>
      </c>
      <c r="AG121">
        <v>33</v>
      </c>
      <c r="AH121">
        <v>123</v>
      </c>
      <c r="AI121" s="27" t="s">
        <v>110</v>
      </c>
      <c r="AJ121" s="113" t="s">
        <v>44</v>
      </c>
      <c r="AK121" s="38" t="s">
        <v>45</v>
      </c>
    </row>
    <row r="122" spans="1:39">
      <c r="A122" s="41" t="s">
        <v>778</v>
      </c>
      <c r="B122" s="42" t="s">
        <v>779</v>
      </c>
      <c r="C122" s="43" t="s">
        <v>780</v>
      </c>
      <c r="D122" s="27" t="s">
        <v>438</v>
      </c>
      <c r="F122" s="124" t="s">
        <v>781</v>
      </c>
      <c r="G122" t="s">
        <v>782</v>
      </c>
      <c r="H122" s="27" t="s">
        <v>79</v>
      </c>
      <c r="I122" s="27">
        <v>4002</v>
      </c>
      <c r="J122"/>
      <c r="K122"/>
      <c r="L122"/>
      <c r="M122">
        <v>0.00611</v>
      </c>
      <c r="N122" s="27" t="s">
        <v>783</v>
      </c>
      <c r="P122" s="124" t="s">
        <v>781</v>
      </c>
      <c r="Q122" s="27" t="s">
        <v>784</v>
      </c>
      <c r="R122" s="27">
        <v>4002</v>
      </c>
      <c r="S122" s="27">
        <v>325264</v>
      </c>
      <c r="U122" s="27" t="s">
        <v>785</v>
      </c>
      <c r="V122" t="s">
        <v>782</v>
      </c>
      <c r="W122"/>
      <c r="X122" s="27" t="s">
        <v>79</v>
      </c>
      <c r="Y122" s="27" t="s">
        <v>216</v>
      </c>
      <c r="Z122">
        <v>0.394</v>
      </c>
      <c r="AA122">
        <v>0.839</v>
      </c>
      <c r="AB122">
        <v>0</v>
      </c>
      <c r="AC122">
        <v>0.00611</v>
      </c>
      <c r="AD122" s="7">
        <v>17</v>
      </c>
      <c r="AI122" s="27" t="s">
        <v>62</v>
      </c>
      <c r="AJ122" s="113" t="s">
        <v>63</v>
      </c>
      <c r="AK122" s="38" t="s">
        <v>62</v>
      </c>
    </row>
    <row r="123" s="48" customFormat="1" spans="1:39">
      <c r="A123" s="34" t="s">
        <v>786</v>
      </c>
      <c r="B123" s="45" t="s">
        <v>779</v>
      </c>
      <c r="C123" s="52" t="s">
        <v>780</v>
      </c>
      <c r="D123" s="53" t="s">
        <v>562</v>
      </c>
      <c r="E123" s="34"/>
      <c r="F123" s="126" t="s">
        <v>629</v>
      </c>
      <c r="H123" s="34" t="s">
        <v>79</v>
      </c>
      <c r="I123" s="34">
        <v>2162</v>
      </c>
      <c r="M123" s="48">
        <v>0.0725</v>
      </c>
      <c r="N123" s="34" t="s">
        <v>565</v>
      </c>
      <c r="O123" s="34"/>
      <c r="P123" s="126" t="s">
        <v>629</v>
      </c>
      <c r="Q123" s="34" t="s">
        <v>787</v>
      </c>
      <c r="R123" s="34">
        <v>2162</v>
      </c>
      <c r="S123" s="47">
        <v>226835</v>
      </c>
      <c r="T123" s="47"/>
      <c r="U123" s="47" t="s">
        <v>788</v>
      </c>
      <c r="W123" s="48">
        <v>1</v>
      </c>
      <c r="X123" s="34" t="s">
        <v>79</v>
      </c>
      <c r="Y123" s="34" t="s">
        <v>216</v>
      </c>
      <c r="Z123" s="48">
        <v>0.129</v>
      </c>
      <c r="AA123" s="48">
        <v>0.772</v>
      </c>
      <c r="AB123" s="48">
        <v>57</v>
      </c>
      <c r="AC123" s="48">
        <v>0.0725</v>
      </c>
      <c r="AD123" s="48" t="s">
        <v>42</v>
      </c>
      <c r="AE123" s="7">
        <v>0</v>
      </c>
      <c r="AF123" s="7">
        <v>194</v>
      </c>
      <c r="AG123" s="7">
        <v>2</v>
      </c>
      <c r="AH123" s="7">
        <v>328</v>
      </c>
      <c r="AI123" s="34" t="s">
        <v>62</v>
      </c>
      <c r="AJ123" s="113" t="s">
        <v>44</v>
      </c>
      <c r="AK123" s="49" t="s">
        <v>45</v>
      </c>
    </row>
    <row r="124" s="48" customFormat="1" spans="1:39">
      <c r="A124" s="34" t="s">
        <v>789</v>
      </c>
      <c r="B124" s="45" t="s">
        <v>790</v>
      </c>
      <c r="C124" s="52" t="s">
        <v>791</v>
      </c>
      <c r="D124" s="34" t="s">
        <v>438</v>
      </c>
      <c r="E124" s="34"/>
      <c r="F124" s="126" t="s">
        <v>501</v>
      </c>
      <c r="H124" s="34" t="s">
        <v>79</v>
      </c>
      <c r="I124" s="34" t="s">
        <v>792</v>
      </c>
      <c r="M124" s="48">
        <v>0.0676</v>
      </c>
      <c r="N124" s="34" t="s">
        <v>442</v>
      </c>
      <c r="O124" s="34"/>
      <c r="P124" s="126" t="s">
        <v>501</v>
      </c>
      <c r="Q124" s="34" t="s">
        <v>793</v>
      </c>
      <c r="R124" s="34" t="s">
        <v>792</v>
      </c>
      <c r="S124" s="47">
        <v>2729</v>
      </c>
      <c r="T124" s="47"/>
      <c r="U124" s="47" t="s">
        <v>794</v>
      </c>
      <c r="W124" s="48">
        <v>1</v>
      </c>
      <c r="X124" s="34" t="s">
        <v>79</v>
      </c>
      <c r="Y124" s="34" t="s">
        <v>216</v>
      </c>
      <c r="Z124" s="48">
        <v>0.36</v>
      </c>
      <c r="AA124" s="48">
        <v>1</v>
      </c>
      <c r="AB124" s="48">
        <v>0</v>
      </c>
      <c r="AC124" s="48">
        <v>0.0676</v>
      </c>
      <c r="AD124" s="48" t="s">
        <v>42</v>
      </c>
      <c r="AE124" s="7">
        <v>0</v>
      </c>
      <c r="AF124" s="7">
        <v>0</v>
      </c>
      <c r="AG124" s="7">
        <v>1</v>
      </c>
      <c r="AH124" s="7">
        <v>1</v>
      </c>
      <c r="AI124" s="34" t="s">
        <v>110</v>
      </c>
      <c r="AJ124" s="113" t="s">
        <v>44</v>
      </c>
      <c r="AK124" s="49" t="s">
        <v>45</v>
      </c>
    </row>
    <row r="125" s="34" customFormat="1" spans="1:39">
      <c r="A125" s="34" t="s">
        <v>795</v>
      </c>
      <c r="B125" s="47" t="s">
        <v>790</v>
      </c>
      <c r="C125" s="34" t="s">
        <v>796</v>
      </c>
      <c r="D125" s="34" t="s">
        <v>33</v>
      </c>
      <c r="F125" s="127" t="s">
        <v>304</v>
      </c>
      <c r="G125" s="7"/>
      <c r="H125" s="34" t="s">
        <v>37</v>
      </c>
      <c r="I125" s="48">
        <v>104</v>
      </c>
      <c r="J125" s="7"/>
      <c r="K125" s="7"/>
      <c r="L125" s="7"/>
      <c r="M125" s="7">
        <v>0.17</v>
      </c>
      <c r="N125" s="34" t="s">
        <v>38</v>
      </c>
      <c r="P125" s="127" t="s">
        <v>304</v>
      </c>
      <c r="Q125" s="48" t="s">
        <v>797</v>
      </c>
      <c r="R125" s="48">
        <v>104</v>
      </c>
      <c r="S125" s="47">
        <v>513</v>
      </c>
      <c r="T125" s="47"/>
      <c r="U125" s="47" t="s">
        <v>798</v>
      </c>
      <c r="V125" s="7"/>
      <c r="W125" s="7">
        <v>1</v>
      </c>
      <c r="X125" s="34" t="s">
        <v>37</v>
      </c>
      <c r="Y125" s="34" t="s">
        <v>341</v>
      </c>
      <c r="Z125" s="40">
        <v>0.609</v>
      </c>
      <c r="AA125" s="40">
        <v>1</v>
      </c>
      <c r="AB125" s="7">
        <v>0</v>
      </c>
      <c r="AC125" s="7">
        <v>0.17</v>
      </c>
      <c r="AD125" s="48"/>
      <c r="AE125" s="40">
        <v>96</v>
      </c>
      <c r="AF125" s="40">
        <v>103</v>
      </c>
      <c r="AG125" s="40">
        <v>197</v>
      </c>
      <c r="AH125" s="40">
        <v>213</v>
      </c>
      <c r="AI125" s="34" t="s">
        <v>110</v>
      </c>
      <c r="AJ125" s="113" t="s">
        <v>44</v>
      </c>
      <c r="AK125" s="49" t="s">
        <v>45</v>
      </c>
      <c r="AL125" s="48"/>
      <c r="AM125" s="48"/>
    </row>
    <row r="126" spans="1:39">
      <c r="A126" s="41" t="s">
        <v>799</v>
      </c>
      <c r="B126" s="42" t="s">
        <v>800</v>
      </c>
      <c r="C126" s="43" t="s">
        <v>801</v>
      </c>
      <c r="D126" s="27" t="s">
        <v>33</v>
      </c>
      <c r="F126" s="124" t="s">
        <v>781</v>
      </c>
      <c r="G126" t="s">
        <v>802</v>
      </c>
      <c r="H126" s="27" t="s">
        <v>37</v>
      </c>
      <c r="I126" s="27">
        <v>1986</v>
      </c>
      <c r="J126"/>
      <c r="K126"/>
      <c r="L126"/>
      <c r="M126">
        <v>0.204</v>
      </c>
      <c r="N126" s="27" t="s">
        <v>38</v>
      </c>
      <c r="P126" s="124" t="s">
        <v>781</v>
      </c>
      <c r="Q126" s="27" t="s">
        <v>803</v>
      </c>
      <c r="R126" s="27">
        <v>1986</v>
      </c>
      <c r="S126" s="27">
        <v>1809875</v>
      </c>
      <c r="U126" s="27" t="s">
        <v>804</v>
      </c>
      <c r="V126" t="s">
        <v>802</v>
      </c>
      <c r="W126"/>
      <c r="X126" s="27" t="s">
        <v>37</v>
      </c>
      <c r="Y126" s="27" t="s">
        <v>216</v>
      </c>
      <c r="Z126">
        <v>0.806</v>
      </c>
      <c r="AA126">
        <v>1</v>
      </c>
      <c r="AB126">
        <v>0</v>
      </c>
      <c r="AC126">
        <v>0.204</v>
      </c>
      <c r="AD126" t="s">
        <v>42</v>
      </c>
      <c r="AE126" s="7">
        <v>30</v>
      </c>
      <c r="AF126" s="7">
        <v>6</v>
      </c>
      <c r="AG126" s="7">
        <v>74</v>
      </c>
      <c r="AH126" s="7">
        <v>9</v>
      </c>
      <c r="AI126" s="27" t="s">
        <v>62</v>
      </c>
      <c r="AJ126" s="113" t="s">
        <v>44</v>
      </c>
      <c r="AK126" s="38" t="s">
        <v>45</v>
      </c>
    </row>
    <row r="127" spans="1:39">
      <c r="A127" s="41" t="s">
        <v>805</v>
      </c>
      <c r="B127" s="42" t="s">
        <v>806</v>
      </c>
      <c r="C127" s="43" t="s">
        <v>791</v>
      </c>
      <c r="D127" s="27" t="s">
        <v>438</v>
      </c>
      <c r="F127" s="122" t="s">
        <v>374</v>
      </c>
      <c r="G127" t="s">
        <v>807</v>
      </c>
      <c r="H127" s="27" t="s">
        <v>79</v>
      </c>
      <c r="I127" s="27">
        <v>892</v>
      </c>
      <c r="J127"/>
      <c r="K127"/>
      <c r="L127"/>
      <c r="M127">
        <v>0.108</v>
      </c>
      <c r="N127" s="27" t="s">
        <v>442</v>
      </c>
      <c r="P127" s="122" t="s">
        <v>374</v>
      </c>
      <c r="Q127" s="27" t="s">
        <v>808</v>
      </c>
      <c r="R127" s="27">
        <v>892</v>
      </c>
      <c r="S127" s="27">
        <v>401318</v>
      </c>
      <c r="U127" s="27" t="s">
        <v>809</v>
      </c>
      <c r="V127" t="s">
        <v>807</v>
      </c>
      <c r="W127"/>
      <c r="X127" s="27" t="s">
        <v>79</v>
      </c>
      <c r="Y127" s="27" t="s">
        <v>216</v>
      </c>
      <c r="Z127">
        <v>0.0258</v>
      </c>
      <c r="AA127">
        <v>0.535</v>
      </c>
      <c r="AB127">
        <v>0</v>
      </c>
      <c r="AC127">
        <v>0.108</v>
      </c>
      <c r="AD127" t="s">
        <v>42</v>
      </c>
      <c r="AE127" s="7">
        <v>1</v>
      </c>
      <c r="AF127" s="7">
        <v>1</v>
      </c>
      <c r="AG127" s="7">
        <v>6</v>
      </c>
      <c r="AH127" s="7">
        <v>2</v>
      </c>
      <c r="AI127" s="27" t="s">
        <v>110</v>
      </c>
      <c r="AJ127" s="113" t="s">
        <v>44</v>
      </c>
      <c r="AK127" s="38" t="s">
        <v>45</v>
      </c>
    </row>
    <row r="128" spans="1:39">
      <c r="A128" s="41" t="s">
        <v>810</v>
      </c>
      <c r="B128" s="42" t="s">
        <v>811</v>
      </c>
      <c r="C128" s="43" t="s">
        <v>791</v>
      </c>
      <c r="D128" s="27" t="s">
        <v>438</v>
      </c>
      <c r="F128" s="124" t="s">
        <v>374</v>
      </c>
      <c r="G128" t="s">
        <v>812</v>
      </c>
      <c r="H128" s="27" t="s">
        <v>79</v>
      </c>
      <c r="I128" s="27">
        <v>971</v>
      </c>
      <c r="J128"/>
      <c r="K128"/>
      <c r="L128"/>
      <c r="M128">
        <v>0.321</v>
      </c>
      <c r="N128" s="27" t="s">
        <v>442</v>
      </c>
      <c r="P128" s="124" t="s">
        <v>374</v>
      </c>
      <c r="Q128" s="27" t="s">
        <v>813</v>
      </c>
      <c r="R128" s="27">
        <v>971</v>
      </c>
      <c r="S128" s="27">
        <v>227653</v>
      </c>
      <c r="U128" s="27" t="s">
        <v>814</v>
      </c>
      <c r="V128" t="s">
        <v>812</v>
      </c>
      <c r="W128"/>
      <c r="X128" s="27" t="s">
        <v>79</v>
      </c>
      <c r="Y128" s="27" t="s">
        <v>216</v>
      </c>
      <c r="Z128">
        <v>0.204</v>
      </c>
      <c r="AA128">
        <v>0.36</v>
      </c>
      <c r="AB128">
        <v>0</v>
      </c>
      <c r="AC128">
        <v>0.321</v>
      </c>
      <c r="AD128" t="s">
        <v>42</v>
      </c>
      <c r="AE128" s="40">
        <v>8</v>
      </c>
      <c r="AF128" s="40">
        <v>5</v>
      </c>
      <c r="AG128" s="40">
        <v>20</v>
      </c>
      <c r="AH128" s="40">
        <v>12</v>
      </c>
      <c r="AI128" s="27" t="s">
        <v>110</v>
      </c>
      <c r="AJ128" s="113" t="s">
        <v>44</v>
      </c>
      <c r="AK128" s="38" t="s">
        <v>45</v>
      </c>
    </row>
    <row r="129" spans="1:37">
      <c r="A129" s="41" t="s">
        <v>815</v>
      </c>
      <c r="B129" s="42" t="s">
        <v>816</v>
      </c>
      <c r="C129" s="27" t="s">
        <v>796</v>
      </c>
      <c r="D129" s="27" t="s">
        <v>33</v>
      </c>
      <c r="F129" s="122" t="s">
        <v>343</v>
      </c>
      <c r="G129" s="40" t="s">
        <v>817</v>
      </c>
      <c r="H129" s="27" t="s">
        <v>37</v>
      </c>
      <c r="I129" s="27">
        <v>641</v>
      </c>
      <c r="J129" s="40"/>
      <c r="K129" s="40"/>
      <c r="L129" s="40"/>
      <c r="M129" s="40">
        <v>0.728</v>
      </c>
      <c r="N129" s="27" t="s">
        <v>38</v>
      </c>
      <c r="P129" s="122" t="s">
        <v>343</v>
      </c>
      <c r="Q129" s="27" t="s">
        <v>818</v>
      </c>
      <c r="R129" s="27">
        <v>641</v>
      </c>
      <c r="S129" s="27">
        <v>2714</v>
      </c>
      <c r="U129" s="27" t="s">
        <v>819</v>
      </c>
      <c r="V129" s="40" t="s">
        <v>817</v>
      </c>
      <c r="W129" s="40"/>
      <c r="X129" s="27" t="s">
        <v>37</v>
      </c>
      <c r="Y129" s="27" t="s">
        <v>216</v>
      </c>
      <c r="Z129" s="40">
        <v>0.165</v>
      </c>
      <c r="AA129" s="40">
        <v>1</v>
      </c>
      <c r="AB129" s="40">
        <v>57.5</v>
      </c>
      <c r="AC129" s="40">
        <v>0.728</v>
      </c>
      <c r="AE129" s="40">
        <v>93</v>
      </c>
      <c r="AF129" s="40">
        <v>8</v>
      </c>
      <c r="AG129" s="40">
        <v>193</v>
      </c>
      <c r="AH129" s="40">
        <v>12</v>
      </c>
      <c r="AI129" s="27" t="s">
        <v>110</v>
      </c>
      <c r="AJ129" s="113" t="s">
        <v>44</v>
      </c>
      <c r="AK129" s="38" t="s">
        <v>45</v>
      </c>
    </row>
    <row r="130" spans="1:37">
      <c r="A130" s="41" t="s">
        <v>820</v>
      </c>
      <c r="B130" s="42" t="s">
        <v>821</v>
      </c>
      <c r="C130" s="43" t="s">
        <v>822</v>
      </c>
      <c r="D130" s="27" t="s">
        <v>438</v>
      </c>
      <c r="F130" s="27" t="s">
        <v>823</v>
      </c>
      <c r="G130" t="s">
        <v>824</v>
      </c>
      <c r="H130" s="27" t="s">
        <v>79</v>
      </c>
      <c r="I130" s="27">
        <v>11061</v>
      </c>
      <c r="J130"/>
      <c r="K130"/>
      <c r="L130"/>
      <c r="M130">
        <v>0.00157</v>
      </c>
      <c r="N130" s="27" t="s">
        <v>442</v>
      </c>
      <c r="P130" s="27" t="s">
        <v>823</v>
      </c>
      <c r="Q130" s="27" t="s">
        <v>825</v>
      </c>
      <c r="R130" s="27">
        <v>11061</v>
      </c>
      <c r="S130" s="27">
        <v>34306</v>
      </c>
      <c r="U130" s="27" t="s">
        <v>826</v>
      </c>
      <c r="V130" t="s">
        <v>824</v>
      </c>
      <c r="W130"/>
      <c r="X130" s="27" t="s">
        <v>79</v>
      </c>
      <c r="Y130" s="27" t="s">
        <v>216</v>
      </c>
      <c r="Z130">
        <v>0.516</v>
      </c>
      <c r="AA130">
        <v>0.638</v>
      </c>
      <c r="AB130">
        <v>95</v>
      </c>
      <c r="AC130">
        <v>0.00157</v>
      </c>
      <c r="AD130" s="7">
        <v>1159</v>
      </c>
      <c r="AI130" s="27" t="s">
        <v>83</v>
      </c>
      <c r="AJ130" s="113" t="s">
        <v>63</v>
      </c>
      <c r="AK130" s="38" t="s">
        <v>45</v>
      </c>
    </row>
    <row r="131" spans="1:37">
      <c r="A131" s="33" t="s">
        <v>827</v>
      </c>
      <c r="B131" s="27" t="s">
        <v>828</v>
      </c>
      <c r="C131" s="27" t="s">
        <v>829</v>
      </c>
      <c r="D131" s="27" t="s">
        <v>438</v>
      </c>
      <c r="E131" s="27" t="s">
        <v>67</v>
      </c>
      <c r="F131" s="122" t="s">
        <v>343</v>
      </c>
      <c r="G131" t="s">
        <v>830</v>
      </c>
      <c r="H131" s="27" t="s">
        <v>37</v>
      </c>
      <c r="I131" s="27">
        <v>645</v>
      </c>
      <c r="J131"/>
      <c r="K131"/>
      <c r="L131"/>
      <c r="M131">
        <v>0.0369</v>
      </c>
      <c r="N131" s="27" t="s">
        <v>442</v>
      </c>
      <c r="O131" s="27" t="s">
        <v>67</v>
      </c>
      <c r="P131" s="122" t="s">
        <v>343</v>
      </c>
      <c r="Q131" s="27" t="s">
        <v>831</v>
      </c>
      <c r="R131" s="27">
        <v>645</v>
      </c>
      <c r="S131" s="27">
        <v>3643</v>
      </c>
      <c r="U131" s="27" t="s">
        <v>832</v>
      </c>
      <c r="V131" t="s">
        <v>830</v>
      </c>
      <c r="W131"/>
      <c r="X131" s="27" t="s">
        <v>37</v>
      </c>
      <c r="Y131" s="27" t="s">
        <v>41</v>
      </c>
      <c r="Z131">
        <v>0.461</v>
      </c>
      <c r="AA131" s="36">
        <v>0.155</v>
      </c>
      <c r="AB131">
        <v>0</v>
      </c>
      <c r="AC131">
        <v>0.0369</v>
      </c>
      <c r="AD131">
        <v>10</v>
      </c>
      <c r="AE131" t="s">
        <v>42</v>
      </c>
      <c r="AF131" t="s">
        <v>42</v>
      </c>
      <c r="AG131" t="s">
        <v>42</v>
      </c>
      <c r="AH131" t="s">
        <v>42</v>
      </c>
      <c r="AI131" s="27" t="s">
        <v>83</v>
      </c>
      <c r="AJ131" s="113" t="s">
        <v>63</v>
      </c>
      <c r="AK131" s="38" t="s">
        <v>45</v>
      </c>
    </row>
    <row r="132" s="48" customFormat="1" spans="1:37">
      <c r="A132" s="34" t="s">
        <v>833</v>
      </c>
      <c r="B132" s="47" t="s">
        <v>828</v>
      </c>
      <c r="C132" s="34" t="s">
        <v>829</v>
      </c>
      <c r="D132" s="34" t="s">
        <v>438</v>
      </c>
      <c r="E132" s="34" t="s">
        <v>834</v>
      </c>
      <c r="F132" s="127" t="s">
        <v>304</v>
      </c>
      <c r="H132" s="34" t="s">
        <v>37</v>
      </c>
      <c r="I132" s="34">
        <v>286</v>
      </c>
      <c r="M132" s="48">
        <v>0.0901</v>
      </c>
      <c r="N132" s="34" t="s">
        <v>442</v>
      </c>
      <c r="O132" s="34" t="s">
        <v>834</v>
      </c>
      <c r="P132" s="127" t="s">
        <v>304</v>
      </c>
      <c r="Q132" s="34" t="s">
        <v>835</v>
      </c>
      <c r="R132" s="34">
        <v>286</v>
      </c>
      <c r="S132" s="47">
        <v>1400</v>
      </c>
      <c r="T132" s="47"/>
      <c r="U132" s="47" t="s">
        <v>836</v>
      </c>
      <c r="W132" s="48">
        <v>1</v>
      </c>
      <c r="X132" s="34" t="s">
        <v>37</v>
      </c>
      <c r="Y132" s="34" t="s">
        <v>41</v>
      </c>
      <c r="Z132" s="48">
        <v>0.76</v>
      </c>
      <c r="AA132" s="54">
        <v>0.66</v>
      </c>
      <c r="AB132" s="48">
        <v>0</v>
      </c>
      <c r="AC132" s="48">
        <v>0.0901</v>
      </c>
      <c r="AD132" s="48" t="s">
        <v>42</v>
      </c>
      <c r="AE132" s="48">
        <v>0</v>
      </c>
      <c r="AF132" s="48">
        <v>0</v>
      </c>
      <c r="AG132" s="48">
        <v>1</v>
      </c>
      <c r="AH132" s="48">
        <v>1</v>
      </c>
      <c r="AI132" s="34" t="s">
        <v>83</v>
      </c>
      <c r="AJ132" s="113" t="s">
        <v>44</v>
      </c>
      <c r="AK132" s="49" t="s">
        <v>45</v>
      </c>
    </row>
    <row r="133" s="48" customFormat="1" spans="1:37">
      <c r="A133" s="34" t="s">
        <v>837</v>
      </c>
      <c r="B133" s="47" t="s">
        <v>828</v>
      </c>
      <c r="C133" s="34" t="s">
        <v>829</v>
      </c>
      <c r="D133" s="34" t="s">
        <v>438</v>
      </c>
      <c r="E133" s="34" t="s">
        <v>838</v>
      </c>
      <c r="F133" s="127" t="s">
        <v>304</v>
      </c>
      <c r="H133" s="34" t="s">
        <v>37</v>
      </c>
      <c r="I133" s="34">
        <v>271</v>
      </c>
      <c r="M133" s="48">
        <v>0.118</v>
      </c>
      <c r="N133" s="34" t="s">
        <v>442</v>
      </c>
      <c r="O133" s="34" t="s">
        <v>838</v>
      </c>
      <c r="P133" s="127" t="s">
        <v>304</v>
      </c>
      <c r="Q133" s="34" t="s">
        <v>839</v>
      </c>
      <c r="R133" s="34">
        <v>271</v>
      </c>
      <c r="S133" s="47">
        <v>1359</v>
      </c>
      <c r="T133" s="47"/>
      <c r="U133" s="47" t="s">
        <v>840</v>
      </c>
      <c r="W133" s="48">
        <v>1</v>
      </c>
      <c r="X133" s="34" t="s">
        <v>37</v>
      </c>
      <c r="Y133" s="34" t="s">
        <v>41</v>
      </c>
      <c r="Z133" s="48">
        <v>0.0893</v>
      </c>
      <c r="AA133" s="54">
        <v>0.465</v>
      </c>
      <c r="AB133" s="48">
        <v>31.1</v>
      </c>
      <c r="AC133" s="48">
        <v>0.118</v>
      </c>
      <c r="AD133" s="48" t="s">
        <v>42</v>
      </c>
      <c r="AE133" s="48">
        <v>0</v>
      </c>
      <c r="AF133" s="48">
        <v>0</v>
      </c>
      <c r="AG133" s="48">
        <v>1</v>
      </c>
      <c r="AH133" s="48">
        <v>1</v>
      </c>
      <c r="AI133" s="34" t="s">
        <v>83</v>
      </c>
      <c r="AJ133" s="113" t="s">
        <v>44</v>
      </c>
      <c r="AK133" s="49" t="s">
        <v>45</v>
      </c>
    </row>
    <row r="134" s="48" customFormat="1" spans="1:37">
      <c r="A134" s="34" t="s">
        <v>841</v>
      </c>
      <c r="B134" s="47" t="s">
        <v>828</v>
      </c>
      <c r="C134" s="34" t="s">
        <v>829</v>
      </c>
      <c r="D134" s="34" t="s">
        <v>438</v>
      </c>
      <c r="E134" s="34" t="s">
        <v>842</v>
      </c>
      <c r="F134" s="127" t="s">
        <v>343</v>
      </c>
      <c r="H134" s="34" t="s">
        <v>37</v>
      </c>
      <c r="I134" s="34">
        <v>289</v>
      </c>
      <c r="M134" s="48">
        <v>0.136</v>
      </c>
      <c r="N134" s="34" t="s">
        <v>442</v>
      </c>
      <c r="O134" s="34" t="s">
        <v>842</v>
      </c>
      <c r="P134" s="127" t="s">
        <v>343</v>
      </c>
      <c r="Q134" s="34" t="s">
        <v>843</v>
      </c>
      <c r="R134" s="34">
        <v>289</v>
      </c>
      <c r="S134" s="47">
        <v>1777</v>
      </c>
      <c r="T134" s="47"/>
      <c r="U134" s="47" t="s">
        <v>844</v>
      </c>
      <c r="W134" s="48">
        <v>1</v>
      </c>
      <c r="X134" s="34" t="s">
        <v>37</v>
      </c>
      <c r="Y134" s="34" t="s">
        <v>41</v>
      </c>
      <c r="Z134" s="48">
        <v>0.954</v>
      </c>
      <c r="AA134" s="54">
        <v>1</v>
      </c>
      <c r="AB134" s="48">
        <v>0</v>
      </c>
      <c r="AC134" s="48">
        <v>0.136</v>
      </c>
      <c r="AD134" s="48" t="s">
        <v>42</v>
      </c>
      <c r="AE134" s="48">
        <v>1</v>
      </c>
      <c r="AF134" s="48">
        <v>1</v>
      </c>
      <c r="AG134" s="48">
        <v>3</v>
      </c>
      <c r="AH134" s="48">
        <v>7</v>
      </c>
      <c r="AI134" s="34" t="s">
        <v>83</v>
      </c>
      <c r="AJ134" s="113" t="s">
        <v>44</v>
      </c>
      <c r="AK134" s="49" t="s">
        <v>45</v>
      </c>
    </row>
    <row r="135" spans="1:37">
      <c r="A135" s="33" t="s">
        <v>845</v>
      </c>
      <c r="B135" s="27" t="s">
        <v>828</v>
      </c>
      <c r="C135" s="27" t="s">
        <v>829</v>
      </c>
      <c r="D135" s="27" t="s">
        <v>438</v>
      </c>
      <c r="E135" s="27" t="s">
        <v>846</v>
      </c>
      <c r="F135" s="122" t="s">
        <v>343</v>
      </c>
      <c r="G135" t="s">
        <v>847</v>
      </c>
      <c r="H135" s="27" t="s">
        <v>37</v>
      </c>
      <c r="I135" s="27">
        <v>404</v>
      </c>
      <c r="J135"/>
      <c r="K135"/>
      <c r="L135"/>
      <c r="M135">
        <v>0.00448</v>
      </c>
      <c r="N135" s="27" t="s">
        <v>442</v>
      </c>
      <c r="O135" s="27" t="s">
        <v>846</v>
      </c>
      <c r="P135" s="122" t="s">
        <v>343</v>
      </c>
      <c r="Q135" s="27" t="s">
        <v>848</v>
      </c>
      <c r="R135" s="27">
        <v>404</v>
      </c>
      <c r="S135" s="27">
        <v>2177</v>
      </c>
      <c r="U135" s="27" t="s">
        <v>849</v>
      </c>
      <c r="V135" t="s">
        <v>847</v>
      </c>
      <c r="W135"/>
      <c r="X135" s="27" t="s">
        <v>37</v>
      </c>
      <c r="Y135" s="27" t="s">
        <v>41</v>
      </c>
      <c r="Z135">
        <v>0.0572</v>
      </c>
      <c r="AA135" s="36">
        <v>0.569</v>
      </c>
      <c r="AB135">
        <v>0</v>
      </c>
      <c r="AC135">
        <v>0.00448</v>
      </c>
      <c r="AD135">
        <v>18</v>
      </c>
      <c r="AE135" t="s">
        <v>42</v>
      </c>
      <c r="AF135" t="s">
        <v>42</v>
      </c>
      <c r="AG135" t="s">
        <v>42</v>
      </c>
      <c r="AH135" t="s">
        <v>42</v>
      </c>
      <c r="AI135" s="27" t="s">
        <v>83</v>
      </c>
      <c r="AJ135" s="113" t="s">
        <v>63</v>
      </c>
      <c r="AK135" s="49" t="s">
        <v>62</v>
      </c>
    </row>
    <row r="136" s="48" customFormat="1" spans="1:37">
      <c r="A136" s="34" t="s">
        <v>850</v>
      </c>
      <c r="B136" s="45" t="s">
        <v>851</v>
      </c>
      <c r="C136" s="52" t="s">
        <v>822</v>
      </c>
      <c r="D136" s="34" t="s">
        <v>438</v>
      </c>
      <c r="E136" s="34"/>
      <c r="F136" s="126" t="s">
        <v>304</v>
      </c>
      <c r="H136" s="34" t="s">
        <v>79</v>
      </c>
      <c r="I136" s="34">
        <v>2364</v>
      </c>
      <c r="M136" s="48">
        <v>0.102</v>
      </c>
      <c r="N136" s="34" t="s">
        <v>442</v>
      </c>
      <c r="O136" s="34"/>
      <c r="P136" s="126" t="s">
        <v>304</v>
      </c>
      <c r="Q136" s="34" t="s">
        <v>852</v>
      </c>
      <c r="R136" s="34">
        <v>2364</v>
      </c>
      <c r="S136" s="47">
        <v>29312</v>
      </c>
      <c r="T136" s="47"/>
      <c r="U136" s="47" t="s">
        <v>853</v>
      </c>
      <c r="W136" s="48">
        <v>1</v>
      </c>
      <c r="X136" s="34" t="s">
        <v>79</v>
      </c>
      <c r="Y136" s="34" t="s">
        <v>216</v>
      </c>
      <c r="Z136" s="48">
        <v>0.147</v>
      </c>
      <c r="AA136" s="48">
        <v>0.798</v>
      </c>
      <c r="AB136" s="48">
        <v>72.5</v>
      </c>
      <c r="AC136" s="48">
        <v>0.102</v>
      </c>
      <c r="AE136" s="7">
        <v>0</v>
      </c>
      <c r="AF136" s="7">
        <v>0</v>
      </c>
      <c r="AG136" s="7">
        <v>1</v>
      </c>
      <c r="AH136" s="7">
        <v>1</v>
      </c>
      <c r="AI136" s="34" t="s">
        <v>83</v>
      </c>
      <c r="AJ136" s="113" t="s">
        <v>44</v>
      </c>
      <c r="AK136" s="49" t="s">
        <v>45</v>
      </c>
    </row>
    <row r="137" spans="1:37">
      <c r="A137" s="41" t="s">
        <v>854</v>
      </c>
      <c r="B137" s="42" t="s">
        <v>855</v>
      </c>
      <c r="C137" s="43" t="s">
        <v>822</v>
      </c>
      <c r="D137" s="27" t="s">
        <v>438</v>
      </c>
      <c r="F137" s="124" t="s">
        <v>343</v>
      </c>
      <c r="G137" t="s">
        <v>856</v>
      </c>
      <c r="H137" s="27" t="s">
        <v>79</v>
      </c>
      <c r="I137" s="27">
        <v>864</v>
      </c>
      <c r="J137"/>
      <c r="K137"/>
      <c r="L137"/>
      <c r="M137">
        <v>0.0339</v>
      </c>
      <c r="N137" s="27" t="s">
        <v>442</v>
      </c>
      <c r="P137" s="124" t="s">
        <v>343</v>
      </c>
      <c r="Q137" s="27" t="s">
        <v>857</v>
      </c>
      <c r="R137" s="27">
        <v>864</v>
      </c>
      <c r="S137" s="27">
        <v>11634</v>
      </c>
      <c r="U137" s="27" t="s">
        <v>858</v>
      </c>
      <c r="V137" t="s">
        <v>856</v>
      </c>
      <c r="W137"/>
      <c r="X137" s="27" t="s">
        <v>79</v>
      </c>
      <c r="Y137" s="27" t="s">
        <v>216</v>
      </c>
      <c r="Z137">
        <v>0.841</v>
      </c>
      <c r="AA137">
        <v>0.913</v>
      </c>
      <c r="AB137">
        <v>24.2</v>
      </c>
      <c r="AC137">
        <v>0.0339</v>
      </c>
      <c r="AD137" s="7">
        <v>9</v>
      </c>
      <c r="AI137" s="27" t="s">
        <v>83</v>
      </c>
      <c r="AJ137" s="113" t="s">
        <v>63</v>
      </c>
      <c r="AK137" s="38" t="s">
        <v>45</v>
      </c>
    </row>
    <row r="138" s="48" customFormat="1" spans="1:37">
      <c r="A138" s="34" t="s">
        <v>859</v>
      </c>
      <c r="B138" s="45" t="s">
        <v>860</v>
      </c>
      <c r="C138" s="52" t="s">
        <v>822</v>
      </c>
      <c r="D138" s="34" t="s">
        <v>438</v>
      </c>
      <c r="E138" s="34"/>
      <c r="F138" s="126" t="s">
        <v>304</v>
      </c>
      <c r="H138" s="34" t="s">
        <v>79</v>
      </c>
      <c r="I138" s="34">
        <v>319</v>
      </c>
      <c r="M138" s="48">
        <v>0.0631</v>
      </c>
      <c r="N138" s="34" t="s">
        <v>442</v>
      </c>
      <c r="O138" s="34"/>
      <c r="P138" s="126" t="s">
        <v>304</v>
      </c>
      <c r="Q138" s="34" t="s">
        <v>861</v>
      </c>
      <c r="R138" s="34">
        <v>319</v>
      </c>
      <c r="S138" s="47">
        <v>19585</v>
      </c>
      <c r="T138" s="47"/>
      <c r="U138" s="47" t="s">
        <v>862</v>
      </c>
      <c r="W138" s="48">
        <v>1</v>
      </c>
      <c r="X138" s="34" t="s">
        <v>79</v>
      </c>
      <c r="Y138" s="34" t="s">
        <v>216</v>
      </c>
      <c r="Z138" s="48">
        <v>0.96</v>
      </c>
      <c r="AA138" s="48">
        <v>0.87</v>
      </c>
      <c r="AB138" s="48">
        <v>65.4</v>
      </c>
      <c r="AC138" s="48">
        <v>0.0631</v>
      </c>
      <c r="AE138" s="7">
        <v>0</v>
      </c>
      <c r="AF138" s="7" t="s">
        <v>159</v>
      </c>
      <c r="AG138" s="7">
        <v>1</v>
      </c>
      <c r="AH138" s="7">
        <v>1</v>
      </c>
      <c r="AI138" s="34" t="s">
        <v>83</v>
      </c>
      <c r="AJ138" s="113" t="s">
        <v>44</v>
      </c>
      <c r="AK138" s="49" t="s">
        <v>45</v>
      </c>
    </row>
    <row r="139" spans="1:37">
      <c r="A139" s="41" t="s">
        <v>863</v>
      </c>
      <c r="B139" s="42" t="s">
        <v>864</v>
      </c>
      <c r="C139" s="43" t="s">
        <v>822</v>
      </c>
      <c r="D139" s="27" t="s">
        <v>438</v>
      </c>
      <c r="F139" s="124" t="s">
        <v>343</v>
      </c>
      <c r="G139" t="s">
        <v>865</v>
      </c>
      <c r="H139" s="27" t="s">
        <v>79</v>
      </c>
      <c r="I139" s="27">
        <v>3437</v>
      </c>
      <c r="J139"/>
      <c r="K139"/>
      <c r="L139"/>
      <c r="M139">
        <v>0.559</v>
      </c>
      <c r="N139" s="27" t="s">
        <v>442</v>
      </c>
      <c r="P139" s="124" t="s">
        <v>343</v>
      </c>
      <c r="Q139" s="27" t="s">
        <v>866</v>
      </c>
      <c r="R139" s="27">
        <v>3437</v>
      </c>
      <c r="S139" s="27">
        <v>7481</v>
      </c>
      <c r="U139" s="27" t="s">
        <v>867</v>
      </c>
      <c r="V139" t="s">
        <v>865</v>
      </c>
      <c r="W139"/>
      <c r="X139" s="27" t="s">
        <v>79</v>
      </c>
      <c r="Y139" s="27" t="s">
        <v>216</v>
      </c>
      <c r="Z139">
        <v>0.273</v>
      </c>
      <c r="AA139">
        <v>0.43</v>
      </c>
      <c r="AB139">
        <v>88.2</v>
      </c>
      <c r="AC139">
        <v>0.559</v>
      </c>
      <c r="AD139" t="s">
        <v>42</v>
      </c>
      <c r="AE139" s="7">
        <v>34</v>
      </c>
      <c r="AF139" s="7">
        <v>41</v>
      </c>
      <c r="AG139" s="7">
        <v>73</v>
      </c>
      <c r="AH139" s="7">
        <v>88</v>
      </c>
      <c r="AI139" s="27" t="s">
        <v>83</v>
      </c>
      <c r="AJ139" s="113" t="s">
        <v>44</v>
      </c>
      <c r="AK139" s="38" t="s">
        <v>45</v>
      </c>
    </row>
    <row r="140" spans="1:37">
      <c r="A140" s="41" t="s">
        <v>868</v>
      </c>
      <c r="B140" s="42" t="s">
        <v>869</v>
      </c>
      <c r="C140" s="43" t="s">
        <v>870</v>
      </c>
      <c r="D140" s="27" t="s">
        <v>33</v>
      </c>
      <c r="F140" s="123" t="s">
        <v>871</v>
      </c>
      <c r="G140" s="40" t="s">
        <v>872</v>
      </c>
      <c r="H140" s="27" t="s">
        <v>873</v>
      </c>
      <c r="I140" s="27">
        <v>4779</v>
      </c>
      <c r="J140" s="40"/>
      <c r="K140" s="40"/>
      <c r="L140" s="40"/>
      <c r="M140" s="40">
        <v>0.37</v>
      </c>
      <c r="N140" s="27" t="s">
        <v>38</v>
      </c>
      <c r="P140" s="123" t="s">
        <v>871</v>
      </c>
      <c r="Q140" s="27" t="s">
        <v>874</v>
      </c>
      <c r="R140" s="27">
        <v>4779</v>
      </c>
      <c r="S140" s="27">
        <v>3750162</v>
      </c>
      <c r="U140" s="27" t="s">
        <v>875</v>
      </c>
      <c r="V140" s="40" t="s">
        <v>872</v>
      </c>
      <c r="W140" s="40"/>
      <c r="X140" s="27" t="s">
        <v>873</v>
      </c>
      <c r="Y140" s="27" t="s">
        <v>216</v>
      </c>
      <c r="Z140" s="40">
        <v>0.974</v>
      </c>
      <c r="AA140" s="40">
        <v>0.777</v>
      </c>
      <c r="AB140" s="40">
        <v>44.5</v>
      </c>
      <c r="AC140" s="40">
        <v>0.37</v>
      </c>
      <c r="AD140" t="s">
        <v>42</v>
      </c>
      <c r="AE140" s="40">
        <v>76</v>
      </c>
      <c r="AF140" s="40">
        <v>9</v>
      </c>
      <c r="AG140" s="40">
        <v>170</v>
      </c>
      <c r="AH140" s="40">
        <v>15</v>
      </c>
      <c r="AI140" s="27" t="s">
        <v>83</v>
      </c>
      <c r="AJ140" s="113" t="s">
        <v>44</v>
      </c>
      <c r="AK140" s="38" t="s">
        <v>45</v>
      </c>
    </row>
    <row r="141" spans="1:37">
      <c r="A141" s="41" t="s">
        <v>876</v>
      </c>
      <c r="B141" s="42" t="s">
        <v>869</v>
      </c>
      <c r="C141" s="43" t="s">
        <v>877</v>
      </c>
      <c r="D141" s="27" t="s">
        <v>55</v>
      </c>
      <c r="F141" s="27" t="s">
        <v>878</v>
      </c>
      <c r="G141" s="40" t="s">
        <v>879</v>
      </c>
      <c r="H141" s="27" t="s">
        <v>37</v>
      </c>
      <c r="I141" s="27">
        <v>6237</v>
      </c>
      <c r="J141" s="40"/>
      <c r="K141" s="40"/>
      <c r="L141" s="40"/>
      <c r="M141" s="40">
        <v>0.00764</v>
      </c>
      <c r="N141" s="27" t="s">
        <v>59</v>
      </c>
      <c r="P141" s="27" t="s">
        <v>878</v>
      </c>
      <c r="Q141" s="27" t="s">
        <v>880</v>
      </c>
      <c r="R141" s="27">
        <v>6237</v>
      </c>
      <c r="S141" s="59">
        <v>18246</v>
      </c>
      <c r="T141" s="59"/>
      <c r="U141" s="59" t="s">
        <v>881</v>
      </c>
      <c r="V141" s="40" t="s">
        <v>879</v>
      </c>
      <c r="W141" s="40"/>
      <c r="X141" s="27" t="s">
        <v>37</v>
      </c>
      <c r="Y141" s="27" t="s">
        <v>216</v>
      </c>
      <c r="Z141" s="40">
        <v>0.0693</v>
      </c>
      <c r="AA141" s="40">
        <v>0.829</v>
      </c>
      <c r="AB141">
        <v>0</v>
      </c>
      <c r="AC141" s="40">
        <v>0.00764</v>
      </c>
      <c r="AD141" s="40">
        <v>21</v>
      </c>
      <c r="AE141" t="s">
        <v>42</v>
      </c>
      <c r="AF141" t="s">
        <v>42</v>
      </c>
      <c r="AG141" t="s">
        <v>42</v>
      </c>
      <c r="AH141" t="s">
        <v>42</v>
      </c>
      <c r="AI141" s="27" t="s">
        <v>62</v>
      </c>
      <c r="AJ141" s="113" t="s">
        <v>63</v>
      </c>
      <c r="AK141" s="38" t="s">
        <v>45</v>
      </c>
    </row>
    <row r="142" spans="1:37">
      <c r="A142" s="41" t="s">
        <v>882</v>
      </c>
      <c r="B142" s="42" t="s">
        <v>883</v>
      </c>
      <c r="C142" s="43" t="s">
        <v>884</v>
      </c>
      <c r="D142" s="27" t="s">
        <v>438</v>
      </c>
      <c r="F142" s="122" t="s">
        <v>885</v>
      </c>
      <c r="G142" t="s">
        <v>886</v>
      </c>
      <c r="H142" s="27" t="s">
        <v>79</v>
      </c>
      <c r="I142" s="27">
        <v>5560</v>
      </c>
      <c r="J142"/>
      <c r="K142"/>
      <c r="L142"/>
      <c r="M142">
        <v>0.000319</v>
      </c>
      <c r="N142" s="27" t="s">
        <v>442</v>
      </c>
      <c r="P142" s="122" t="s">
        <v>885</v>
      </c>
      <c r="Q142" s="27" t="s">
        <v>887</v>
      </c>
      <c r="R142" s="27">
        <v>5560</v>
      </c>
      <c r="S142" s="27">
        <v>1028403</v>
      </c>
      <c r="U142" s="27" t="s">
        <v>395</v>
      </c>
      <c r="V142" t="s">
        <v>886</v>
      </c>
      <c r="W142"/>
      <c r="X142" s="27" t="s">
        <v>79</v>
      </c>
      <c r="Y142" s="27" t="s">
        <v>341</v>
      </c>
      <c r="Z142">
        <v>0.0847</v>
      </c>
      <c r="AA142">
        <v>0.646</v>
      </c>
      <c r="AB142">
        <v>37.1</v>
      </c>
      <c r="AC142">
        <v>0.000319</v>
      </c>
      <c r="AD142">
        <v>220</v>
      </c>
      <c r="AE142" t="s">
        <v>42</v>
      </c>
      <c r="AF142" t="s">
        <v>42</v>
      </c>
      <c r="AG142" t="s">
        <v>42</v>
      </c>
      <c r="AH142" t="s">
        <v>42</v>
      </c>
      <c r="AI142" s="27" t="s">
        <v>146</v>
      </c>
      <c r="AJ142" s="113" t="s">
        <v>52</v>
      </c>
      <c r="AK142" s="38" t="s">
        <v>45</v>
      </c>
    </row>
    <row r="143" spans="1:37">
      <c r="A143" s="41" t="s">
        <v>888</v>
      </c>
      <c r="B143" s="42" t="s">
        <v>889</v>
      </c>
      <c r="C143" s="43" t="s">
        <v>890</v>
      </c>
      <c r="D143" s="27" t="s">
        <v>438</v>
      </c>
      <c r="F143" s="124" t="s">
        <v>587</v>
      </c>
      <c r="G143" t="s">
        <v>891</v>
      </c>
      <c r="H143" s="27" t="s">
        <v>79</v>
      </c>
      <c r="I143" s="27">
        <v>7344</v>
      </c>
      <c r="J143"/>
      <c r="K143"/>
      <c r="L143"/>
      <c r="M143">
        <v>0.00489</v>
      </c>
      <c r="N143" s="27" t="s">
        <v>442</v>
      </c>
      <c r="P143" s="124" t="s">
        <v>587</v>
      </c>
      <c r="Q143" s="27" t="s">
        <v>892</v>
      </c>
      <c r="R143" s="27">
        <v>7344</v>
      </c>
      <c r="S143" s="27">
        <v>421676</v>
      </c>
      <c r="U143" s="27" t="s">
        <v>893</v>
      </c>
      <c r="V143" t="s">
        <v>891</v>
      </c>
      <c r="W143"/>
      <c r="X143" s="27" t="s">
        <v>79</v>
      </c>
      <c r="Y143" s="27" t="s">
        <v>341</v>
      </c>
      <c r="Z143">
        <v>0.366</v>
      </c>
      <c r="AA143">
        <v>0.53</v>
      </c>
      <c r="AB143">
        <v>27.5</v>
      </c>
      <c r="AC143">
        <v>0.00489</v>
      </c>
      <c r="AD143">
        <v>28</v>
      </c>
      <c r="AE143" t="s">
        <v>42</v>
      </c>
      <c r="AF143" t="s">
        <v>42</v>
      </c>
      <c r="AG143" t="s">
        <v>42</v>
      </c>
      <c r="AH143" t="s">
        <v>42</v>
      </c>
      <c r="AI143" s="27" t="s">
        <v>62</v>
      </c>
      <c r="AJ143" s="113" t="s">
        <v>63</v>
      </c>
      <c r="AK143" s="38" t="s">
        <v>62</v>
      </c>
    </row>
    <row r="144" spans="1:37">
      <c r="A144" s="41" t="s">
        <v>894</v>
      </c>
      <c r="B144" s="42" t="s">
        <v>895</v>
      </c>
      <c r="C144" s="43" t="s">
        <v>791</v>
      </c>
      <c r="D144" s="27" t="s">
        <v>438</v>
      </c>
      <c r="F144" s="124" t="s">
        <v>86</v>
      </c>
      <c r="G144" t="s">
        <v>896</v>
      </c>
      <c r="H144" s="27" t="s">
        <v>79</v>
      </c>
      <c r="I144" s="27" t="s">
        <v>107</v>
      </c>
      <c r="J144"/>
      <c r="K144"/>
      <c r="L144"/>
      <c r="M144">
        <v>0.675</v>
      </c>
      <c r="N144" s="27" t="s">
        <v>442</v>
      </c>
      <c r="P144" s="124" t="s">
        <v>86</v>
      </c>
      <c r="Q144" s="27" t="s">
        <v>897</v>
      </c>
      <c r="R144" s="27" t="s">
        <v>107</v>
      </c>
      <c r="S144" s="27">
        <v>379627</v>
      </c>
      <c r="U144" s="27" t="s">
        <v>898</v>
      </c>
      <c r="V144" t="s">
        <v>896</v>
      </c>
      <c r="W144"/>
      <c r="X144" s="27" t="s">
        <v>79</v>
      </c>
      <c r="Y144" s="27" t="s">
        <v>216</v>
      </c>
      <c r="Z144">
        <v>0.578</v>
      </c>
      <c r="AA144">
        <v>1</v>
      </c>
      <c r="AB144">
        <v>0</v>
      </c>
      <c r="AC144">
        <v>0.675</v>
      </c>
      <c r="AE144" s="7">
        <v>376</v>
      </c>
      <c r="AF144" s="7">
        <v>897</v>
      </c>
      <c r="AG144" s="7">
        <v>773</v>
      </c>
      <c r="AH144" s="7">
        <v>1845</v>
      </c>
      <c r="AI144" s="27" t="s">
        <v>110</v>
      </c>
      <c r="AJ144" s="113" t="s">
        <v>44</v>
      </c>
      <c r="AK144" s="38" t="s">
        <v>45</v>
      </c>
    </row>
    <row r="145" spans="1:37">
      <c r="A145" s="41" t="s">
        <v>899</v>
      </c>
      <c r="B145" s="42" t="s">
        <v>900</v>
      </c>
      <c r="C145" s="43" t="s">
        <v>791</v>
      </c>
      <c r="D145" s="27" t="s">
        <v>438</v>
      </c>
      <c r="F145" s="122" t="s">
        <v>465</v>
      </c>
      <c r="G145" t="s">
        <v>901</v>
      </c>
      <c r="H145" s="27" t="s">
        <v>79</v>
      </c>
      <c r="I145" s="27">
        <v>496</v>
      </c>
      <c r="J145"/>
      <c r="K145"/>
      <c r="L145"/>
      <c r="M145">
        <v>0.299</v>
      </c>
      <c r="N145" s="27" t="s">
        <v>442</v>
      </c>
      <c r="P145" s="122" t="s">
        <v>465</v>
      </c>
      <c r="Q145" s="27" t="s">
        <v>902</v>
      </c>
      <c r="R145" s="27">
        <v>496</v>
      </c>
      <c r="S145" s="27">
        <v>171185</v>
      </c>
      <c r="U145" s="27" t="s">
        <v>903</v>
      </c>
      <c r="V145" t="s">
        <v>901</v>
      </c>
      <c r="W145"/>
      <c r="X145" s="27" t="s">
        <v>79</v>
      </c>
      <c r="Y145" s="27" t="s">
        <v>216</v>
      </c>
      <c r="Z145">
        <v>0.843</v>
      </c>
      <c r="AA145">
        <v>1</v>
      </c>
      <c r="AB145">
        <v>0</v>
      </c>
      <c r="AC145">
        <v>0.299</v>
      </c>
      <c r="AD145" t="s">
        <v>42</v>
      </c>
      <c r="AE145" s="7">
        <v>10</v>
      </c>
      <c r="AF145" s="7">
        <v>4</v>
      </c>
      <c r="AG145" s="7">
        <v>23</v>
      </c>
      <c r="AH145" s="7">
        <v>8</v>
      </c>
      <c r="AI145" s="27" t="s">
        <v>110</v>
      </c>
      <c r="AJ145" s="113" t="s">
        <v>44</v>
      </c>
      <c r="AK145" s="38" t="s">
        <v>45</v>
      </c>
    </row>
    <row r="146" spans="1:37">
      <c r="A146" s="41" t="s">
        <v>904</v>
      </c>
      <c r="B146" s="42" t="s">
        <v>905</v>
      </c>
      <c r="C146" s="27" t="s">
        <v>796</v>
      </c>
      <c r="D146" s="27" t="s">
        <v>33</v>
      </c>
      <c r="F146" s="122" t="s">
        <v>759</v>
      </c>
      <c r="G146" s="40" t="s">
        <v>906</v>
      </c>
      <c r="H146" s="27" t="s">
        <v>37</v>
      </c>
      <c r="I146" s="27">
        <v>562</v>
      </c>
      <c r="J146" s="40"/>
      <c r="K146" s="40"/>
      <c r="L146" s="40"/>
      <c r="M146" s="40">
        <v>0.361</v>
      </c>
      <c r="N146" s="27" t="s">
        <v>38</v>
      </c>
      <c r="P146" s="122" t="s">
        <v>759</v>
      </c>
      <c r="Q146" s="27" t="s">
        <v>907</v>
      </c>
      <c r="R146" s="27">
        <v>562</v>
      </c>
      <c r="S146" s="27">
        <v>4010</v>
      </c>
      <c r="U146" s="27" t="s">
        <v>908</v>
      </c>
      <c r="V146" s="40" t="s">
        <v>906</v>
      </c>
      <c r="W146" s="40"/>
      <c r="X146" s="27" t="s">
        <v>37</v>
      </c>
      <c r="Y146" s="27" t="s">
        <v>216</v>
      </c>
      <c r="Z146" s="40">
        <v>0.999</v>
      </c>
      <c r="AA146" s="40">
        <v>1</v>
      </c>
      <c r="AB146">
        <v>0</v>
      </c>
      <c r="AC146" s="40">
        <v>0.361</v>
      </c>
      <c r="AD146" t="s">
        <v>42</v>
      </c>
      <c r="AE146" s="40">
        <v>26</v>
      </c>
      <c r="AF146" s="40" t="s">
        <v>159</v>
      </c>
      <c r="AG146" s="40">
        <v>57</v>
      </c>
      <c r="AH146" s="40" t="s">
        <v>159</v>
      </c>
      <c r="AI146" s="27" t="s">
        <v>110</v>
      </c>
      <c r="AJ146" s="113" t="s">
        <v>44</v>
      </c>
      <c r="AK146" s="38" t="s">
        <v>45</v>
      </c>
    </row>
    <row r="147" spans="1:37">
      <c r="A147" s="41" t="s">
        <v>909</v>
      </c>
      <c r="B147" s="42" t="s">
        <v>910</v>
      </c>
      <c r="C147" s="27" t="s">
        <v>796</v>
      </c>
      <c r="D147" s="27" t="s">
        <v>33</v>
      </c>
      <c r="F147" s="122" t="s">
        <v>332</v>
      </c>
      <c r="G147" s="40" t="s">
        <v>911</v>
      </c>
      <c r="H147" s="27" t="s">
        <v>37</v>
      </c>
      <c r="I147" s="27">
        <v>138</v>
      </c>
      <c r="J147" s="40"/>
      <c r="K147" s="40"/>
      <c r="L147" s="40"/>
      <c r="M147" s="40">
        <v>0.534</v>
      </c>
      <c r="N147" s="27" t="s">
        <v>38</v>
      </c>
      <c r="P147" s="122" t="s">
        <v>332</v>
      </c>
      <c r="Q147" s="27" t="s">
        <v>912</v>
      </c>
      <c r="R147" s="27">
        <v>138</v>
      </c>
      <c r="S147" s="27">
        <v>2902</v>
      </c>
      <c r="U147" s="27" t="s">
        <v>913</v>
      </c>
      <c r="V147" s="40" t="s">
        <v>911</v>
      </c>
      <c r="W147" s="40"/>
      <c r="X147" s="27" t="s">
        <v>37</v>
      </c>
      <c r="Y147" s="27" t="s">
        <v>216</v>
      </c>
      <c r="Z147" t="s">
        <v>43</v>
      </c>
      <c r="AA147">
        <v>1</v>
      </c>
      <c r="AB147" s="40">
        <v>13.6</v>
      </c>
      <c r="AC147" s="40">
        <v>0.534</v>
      </c>
      <c r="AD147" t="s">
        <v>42</v>
      </c>
      <c r="AE147" s="40">
        <v>8</v>
      </c>
      <c r="AF147" s="40">
        <v>3</v>
      </c>
      <c r="AG147" s="40">
        <v>17</v>
      </c>
      <c r="AH147" s="40">
        <v>5</v>
      </c>
      <c r="AI147" s="27" t="s">
        <v>110</v>
      </c>
      <c r="AJ147" s="113" t="s">
        <v>44</v>
      </c>
      <c r="AK147" s="38" t="s">
        <v>45</v>
      </c>
    </row>
    <row r="148" spans="1:37">
      <c r="B148" s="29" t="s">
        <v>914</v>
      </c>
      <c r="AK148" s="106"/>
    </row>
    <row r="149" spans="1:37">
      <c r="A149" s="41" t="s">
        <v>915</v>
      </c>
      <c r="B149" s="42" t="s">
        <v>916</v>
      </c>
      <c r="C149" s="43" t="s">
        <v>917</v>
      </c>
      <c r="D149" s="27" t="s">
        <v>33</v>
      </c>
      <c r="F149" s="122" t="s">
        <v>918</v>
      </c>
      <c r="G149" s="40" t="s">
        <v>919</v>
      </c>
      <c r="H149" s="27" t="s">
        <v>37</v>
      </c>
      <c r="I149" s="27">
        <v>8095</v>
      </c>
      <c r="J149" s="40"/>
      <c r="K149" s="40"/>
      <c r="L149" s="40"/>
      <c r="M149" s="40">
        <v>0.000253</v>
      </c>
      <c r="N149" s="27" t="s">
        <v>38</v>
      </c>
      <c r="P149" s="122" t="s">
        <v>918</v>
      </c>
      <c r="Q149" s="27" t="s">
        <v>920</v>
      </c>
      <c r="R149" s="27">
        <v>8095</v>
      </c>
      <c r="S149" s="27">
        <v>220929</v>
      </c>
      <c r="U149" s="27" t="s">
        <v>921</v>
      </c>
      <c r="V149" s="40" t="s">
        <v>919</v>
      </c>
      <c r="W149" s="40"/>
      <c r="X149" s="27" t="s">
        <v>37</v>
      </c>
      <c r="Y149" s="27" t="s">
        <v>216</v>
      </c>
      <c r="Z149">
        <v>0.0925</v>
      </c>
      <c r="AA149">
        <v>0.0485</v>
      </c>
      <c r="AB149" s="40">
        <v>79.7</v>
      </c>
      <c r="AC149" s="40">
        <v>0.000253</v>
      </c>
      <c r="AD149" s="40">
        <v>514</v>
      </c>
      <c r="AE149" t="s">
        <v>42</v>
      </c>
      <c r="AF149" t="s">
        <v>42</v>
      </c>
      <c r="AG149" t="s">
        <v>42</v>
      </c>
      <c r="AH149" t="s">
        <v>42</v>
      </c>
      <c r="AI149" s="27" t="s">
        <v>83</v>
      </c>
      <c r="AJ149" s="113" t="s">
        <v>52</v>
      </c>
      <c r="AK149" s="38" t="s">
        <v>45</v>
      </c>
    </row>
    <row r="150" spans="1:37">
      <c r="A150" s="41" t="s">
        <v>922</v>
      </c>
      <c r="B150" s="42" t="s">
        <v>916</v>
      </c>
      <c r="C150" s="43" t="s">
        <v>917</v>
      </c>
      <c r="D150" s="27" t="s">
        <v>562</v>
      </c>
      <c r="F150" s="124" t="s">
        <v>923</v>
      </c>
      <c r="G150" t="s">
        <v>924</v>
      </c>
      <c r="H150" s="27" t="s">
        <v>37</v>
      </c>
      <c r="I150" s="27" t="s">
        <v>925</v>
      </c>
      <c r="J150"/>
      <c r="K150"/>
      <c r="L150"/>
      <c r="M150">
        <v>0.749</v>
      </c>
      <c r="N150" s="27" t="s">
        <v>926</v>
      </c>
      <c r="P150" s="124" t="s">
        <v>923</v>
      </c>
      <c r="Q150" s="27" t="s">
        <v>927</v>
      </c>
      <c r="R150" s="27" t="s">
        <v>925</v>
      </c>
      <c r="S150" s="27">
        <v>6493</v>
      </c>
      <c r="U150" s="27" t="s">
        <v>928</v>
      </c>
      <c r="V150" t="s">
        <v>924</v>
      </c>
      <c r="W150"/>
      <c r="X150" s="27" t="s">
        <v>37</v>
      </c>
      <c r="Y150" s="27" t="s">
        <v>216</v>
      </c>
      <c r="Z150">
        <v>0.00244</v>
      </c>
      <c r="AA150">
        <v>0.278</v>
      </c>
      <c r="AB150">
        <v>0</v>
      </c>
      <c r="AC150">
        <v>0.749</v>
      </c>
      <c r="AD150" t="s">
        <v>42</v>
      </c>
      <c r="AE150" s="7">
        <v>150</v>
      </c>
      <c r="AF150" s="7">
        <v>62</v>
      </c>
      <c r="AG150" s="7">
        <v>310</v>
      </c>
      <c r="AH150" s="7">
        <v>126</v>
      </c>
      <c r="AI150" s="27" t="s">
        <v>83</v>
      </c>
      <c r="AJ150" s="113" t="s">
        <v>44</v>
      </c>
      <c r="AK150" s="38" t="s">
        <v>45</v>
      </c>
    </row>
    <row r="151" ht="12.9" customHeight="1" spans="1:37">
      <c r="A151" s="41" t="s">
        <v>929</v>
      </c>
      <c r="B151" s="42" t="s">
        <v>916</v>
      </c>
      <c r="C151" s="43" t="s">
        <v>917</v>
      </c>
      <c r="D151" s="27" t="s">
        <v>562</v>
      </c>
      <c r="F151" s="122" t="s">
        <v>930</v>
      </c>
      <c r="G151" t="s">
        <v>931</v>
      </c>
      <c r="H151" s="27" t="s">
        <v>37</v>
      </c>
      <c r="I151" s="27">
        <v>12818</v>
      </c>
      <c r="J151"/>
      <c r="K151"/>
      <c r="L151"/>
      <c r="M151">
        <v>0.000517</v>
      </c>
      <c r="N151" s="27" t="s">
        <v>932</v>
      </c>
      <c r="P151" s="122" t="s">
        <v>930</v>
      </c>
      <c r="Q151" s="27" t="s">
        <v>933</v>
      </c>
      <c r="R151" s="27">
        <v>12818</v>
      </c>
      <c r="S151" s="27">
        <v>195729</v>
      </c>
      <c r="U151" s="27" t="s">
        <v>934</v>
      </c>
      <c r="V151" t="s">
        <v>931</v>
      </c>
      <c r="W151"/>
      <c r="X151" s="27" t="s">
        <v>37</v>
      </c>
      <c r="Y151" s="27" t="s">
        <v>216</v>
      </c>
      <c r="Z151">
        <v>0.15</v>
      </c>
      <c r="AA151">
        <v>0.681</v>
      </c>
      <c r="AB151">
        <v>50</v>
      </c>
      <c r="AC151">
        <v>0.000517</v>
      </c>
      <c r="AD151" s="7">
        <v>146</v>
      </c>
      <c r="AE151" t="s">
        <v>42</v>
      </c>
      <c r="AF151" t="s">
        <v>42</v>
      </c>
      <c r="AG151" t="s">
        <v>42</v>
      </c>
      <c r="AH151" t="s">
        <v>42</v>
      </c>
      <c r="AI151" s="27" t="s">
        <v>83</v>
      </c>
      <c r="AJ151" s="113" t="s">
        <v>52</v>
      </c>
      <c r="AK151" s="38" t="s">
        <v>45</v>
      </c>
    </row>
    <row r="152" spans="1:37">
      <c r="A152" s="33" t="s">
        <v>935</v>
      </c>
      <c r="B152" s="27" t="s">
        <v>936</v>
      </c>
      <c r="C152" s="27" t="s">
        <v>937</v>
      </c>
      <c r="D152" s="27" t="s">
        <v>33</v>
      </c>
      <c r="E152" s="27" t="s">
        <v>67</v>
      </c>
      <c r="F152" s="27" t="s">
        <v>938</v>
      </c>
      <c r="G152" t="s">
        <v>939</v>
      </c>
      <c r="H152" s="27" t="s">
        <v>37</v>
      </c>
      <c r="I152" s="27">
        <v>87794</v>
      </c>
      <c r="J152"/>
      <c r="K152"/>
      <c r="L152"/>
      <c r="M152">
        <v>1.44e-12</v>
      </c>
      <c r="N152" s="27" t="s">
        <v>38</v>
      </c>
      <c r="O152" s="27" t="s">
        <v>67</v>
      </c>
      <c r="P152" s="27" t="s">
        <v>938</v>
      </c>
      <c r="Q152" s="27" t="s">
        <v>940</v>
      </c>
      <c r="R152" s="27">
        <v>87794</v>
      </c>
      <c r="S152" s="27">
        <v>4985187</v>
      </c>
      <c r="U152" s="27" t="s">
        <v>941</v>
      </c>
      <c r="V152" t="s">
        <v>939</v>
      </c>
      <c r="W152"/>
      <c r="X152" s="27" t="s">
        <v>37</v>
      </c>
      <c r="Y152" s="27" t="s">
        <v>41</v>
      </c>
      <c r="Z152" s="40">
        <v>0.00125</v>
      </c>
      <c r="AA152" s="40">
        <v>0.00737</v>
      </c>
      <c r="AB152" s="40">
        <v>96.4</v>
      </c>
      <c r="AC152">
        <v>1.44e-12</v>
      </c>
      <c r="AD152" s="40">
        <v>15994</v>
      </c>
      <c r="AF152" t="s">
        <v>42</v>
      </c>
      <c r="AG152" t="s">
        <v>42</v>
      </c>
      <c r="AH152" t="s">
        <v>42</v>
      </c>
      <c r="AI152" s="27" t="s">
        <v>83</v>
      </c>
      <c r="AJ152" s="113" t="s">
        <v>111</v>
      </c>
      <c r="AK152" s="38" t="s">
        <v>45</v>
      </c>
    </row>
    <row r="153" spans="1:37">
      <c r="A153" s="33" t="s">
        <v>942</v>
      </c>
      <c r="B153" s="27" t="s">
        <v>936</v>
      </c>
      <c r="C153" s="27" t="s">
        <v>943</v>
      </c>
      <c r="D153" s="27" t="s">
        <v>33</v>
      </c>
      <c r="E153" s="27" t="s">
        <v>944</v>
      </c>
      <c r="F153" s="122" t="s">
        <v>471</v>
      </c>
      <c r="G153" t="s">
        <v>945</v>
      </c>
      <c r="H153" s="27" t="s">
        <v>37</v>
      </c>
      <c r="I153" s="27" t="s">
        <v>946</v>
      </c>
      <c r="J153"/>
      <c r="K153"/>
      <c r="L153"/>
      <c r="M153" s="123" t="s">
        <v>947</v>
      </c>
      <c r="N153" s="27" t="s">
        <v>38</v>
      </c>
      <c r="O153" s="27" t="s">
        <v>944</v>
      </c>
      <c r="P153" s="122" t="s">
        <v>471</v>
      </c>
      <c r="Q153" s="27" t="s">
        <v>948</v>
      </c>
      <c r="R153" s="27" t="s">
        <v>946</v>
      </c>
      <c r="S153" s="27">
        <v>1865760</v>
      </c>
      <c r="U153" s="27" t="s">
        <v>949</v>
      </c>
      <c r="V153" t="s">
        <v>945</v>
      </c>
      <c r="W153"/>
      <c r="X153" s="27" t="s">
        <v>37</v>
      </c>
      <c r="Y153" s="27" t="s">
        <v>41</v>
      </c>
      <c r="Z153">
        <v>0.166</v>
      </c>
      <c r="AA153" s="36">
        <v>0.984</v>
      </c>
      <c r="AB153">
        <v>0</v>
      </c>
      <c r="AC153" s="123" t="s">
        <v>947</v>
      </c>
      <c r="AD153">
        <v>435</v>
      </c>
      <c r="AE153" t="s">
        <v>42</v>
      </c>
      <c r="AF153" t="s">
        <v>42</v>
      </c>
      <c r="AG153" t="s">
        <v>42</v>
      </c>
      <c r="AH153" t="s">
        <v>42</v>
      </c>
      <c r="AI153" s="27" t="s">
        <v>62</v>
      </c>
      <c r="AJ153" s="113" t="s">
        <v>52</v>
      </c>
      <c r="AK153" s="38" t="s">
        <v>62</v>
      </c>
    </row>
    <row r="154" spans="1:37">
      <c r="A154" s="33" t="s">
        <v>950</v>
      </c>
      <c r="B154" s="27" t="s">
        <v>936</v>
      </c>
      <c r="C154" s="27" t="s">
        <v>943</v>
      </c>
      <c r="D154" s="27" t="s">
        <v>33</v>
      </c>
      <c r="E154" s="27" t="s">
        <v>951</v>
      </c>
      <c r="F154" s="122" t="s">
        <v>471</v>
      </c>
      <c r="G154" t="s">
        <v>952</v>
      </c>
      <c r="H154" s="27" t="s">
        <v>37</v>
      </c>
      <c r="I154" s="27" t="s">
        <v>946</v>
      </c>
      <c r="J154"/>
      <c r="K154"/>
      <c r="L154"/>
      <c r="M154">
        <v>0.00842</v>
      </c>
      <c r="N154" s="27" t="s">
        <v>38</v>
      </c>
      <c r="O154" s="27" t="s">
        <v>951</v>
      </c>
      <c r="P154" s="122" t="s">
        <v>471</v>
      </c>
      <c r="Q154" s="27" t="s">
        <v>948</v>
      </c>
      <c r="R154" s="27" t="s">
        <v>946</v>
      </c>
      <c r="S154" s="27">
        <v>1865760</v>
      </c>
      <c r="U154" s="27" t="s">
        <v>953</v>
      </c>
      <c r="V154" t="s">
        <v>952</v>
      </c>
      <c r="W154"/>
      <c r="X154" s="27" t="s">
        <v>37</v>
      </c>
      <c r="Y154" s="27" t="s">
        <v>41</v>
      </c>
      <c r="Z154">
        <v>0.486</v>
      </c>
      <c r="AA154" s="36">
        <v>0.715</v>
      </c>
      <c r="AB154">
        <v>92.4</v>
      </c>
      <c r="AC154">
        <v>0.00842</v>
      </c>
      <c r="AD154">
        <v>753</v>
      </c>
      <c r="AE154" t="s">
        <v>42</v>
      </c>
      <c r="AF154" t="s">
        <v>42</v>
      </c>
      <c r="AG154" t="s">
        <v>42</v>
      </c>
      <c r="AH154" t="s">
        <v>42</v>
      </c>
      <c r="AI154" s="27" t="s">
        <v>62</v>
      </c>
      <c r="AJ154" s="113" t="s">
        <v>63</v>
      </c>
      <c r="AK154" s="38" t="s">
        <v>45</v>
      </c>
    </row>
    <row r="155" spans="1:37">
      <c r="A155" s="41" t="s">
        <v>954</v>
      </c>
      <c r="B155" s="27" t="s">
        <v>936</v>
      </c>
      <c r="C155" s="43" t="s">
        <v>943</v>
      </c>
      <c r="D155" s="27" t="s">
        <v>55</v>
      </c>
      <c r="F155" s="122" t="s">
        <v>955</v>
      </c>
      <c r="G155" t="s">
        <v>956</v>
      </c>
      <c r="H155" s="27" t="s">
        <v>37</v>
      </c>
      <c r="I155" s="27" t="s">
        <v>957</v>
      </c>
      <c r="J155"/>
      <c r="K155"/>
      <c r="L155"/>
      <c r="M155">
        <v>0.0079</v>
      </c>
      <c r="N155" s="27" t="s">
        <v>59</v>
      </c>
      <c r="P155" s="122" t="s">
        <v>955</v>
      </c>
      <c r="Q155" s="27" t="s">
        <v>958</v>
      </c>
      <c r="R155" s="27" t="s">
        <v>957</v>
      </c>
      <c r="S155" s="27">
        <v>202969</v>
      </c>
      <c r="U155" s="27" t="s">
        <v>959</v>
      </c>
      <c r="V155" t="s">
        <v>956</v>
      </c>
      <c r="W155"/>
      <c r="X155" s="27" t="s">
        <v>37</v>
      </c>
      <c r="Y155" s="27" t="s">
        <v>216</v>
      </c>
      <c r="Z155">
        <v>0.164</v>
      </c>
      <c r="AA155">
        <v>0.853</v>
      </c>
      <c r="AB155">
        <v>8.1</v>
      </c>
      <c r="AC155">
        <v>0.0079</v>
      </c>
      <c r="AD155" s="7">
        <v>13</v>
      </c>
      <c r="AE155" t="s">
        <v>42</v>
      </c>
      <c r="AF155" t="s">
        <v>42</v>
      </c>
      <c r="AG155" t="s">
        <v>42</v>
      </c>
      <c r="AH155" t="s">
        <v>42</v>
      </c>
      <c r="AI155" s="27" t="s">
        <v>62</v>
      </c>
      <c r="AJ155" s="113" t="s">
        <v>63</v>
      </c>
      <c r="AK155" s="38" t="s">
        <v>45</v>
      </c>
    </row>
    <row r="156" spans="1:37">
      <c r="A156" s="41" t="s">
        <v>960</v>
      </c>
      <c r="B156" s="27" t="s">
        <v>936</v>
      </c>
      <c r="C156" s="43" t="s">
        <v>961</v>
      </c>
      <c r="D156" s="28" t="s">
        <v>562</v>
      </c>
      <c r="E156" s="59"/>
      <c r="F156" s="122" t="s">
        <v>962</v>
      </c>
      <c r="G156" t="s">
        <v>963</v>
      </c>
      <c r="H156" s="27" t="s">
        <v>37</v>
      </c>
      <c r="I156" s="59">
        <v>6663</v>
      </c>
      <c r="J156"/>
      <c r="K156"/>
      <c r="L156"/>
      <c r="M156">
        <v>0.000478</v>
      </c>
      <c r="N156" s="27" t="s">
        <v>565</v>
      </c>
      <c r="O156" s="59"/>
      <c r="P156" s="122" t="s">
        <v>962</v>
      </c>
      <c r="Q156" s="59" t="s">
        <v>964</v>
      </c>
      <c r="R156" s="59">
        <v>6663</v>
      </c>
      <c r="S156" s="27">
        <v>107151</v>
      </c>
      <c r="U156" s="27" t="s">
        <v>965</v>
      </c>
      <c r="V156" t="s">
        <v>963</v>
      </c>
      <c r="W156"/>
      <c r="X156" s="27" t="s">
        <v>37</v>
      </c>
      <c r="Y156" s="27" t="s">
        <v>216</v>
      </c>
      <c r="Z156">
        <v>0.0812</v>
      </c>
      <c r="AA156">
        <v>0.281</v>
      </c>
      <c r="AB156">
        <v>41.8</v>
      </c>
      <c r="AC156">
        <v>0.000478</v>
      </c>
      <c r="AD156" s="7">
        <v>146</v>
      </c>
      <c r="AE156" t="s">
        <v>42</v>
      </c>
      <c r="AF156" t="s">
        <v>42</v>
      </c>
      <c r="AG156" t="s">
        <v>42</v>
      </c>
      <c r="AH156" t="s">
        <v>42</v>
      </c>
      <c r="AI156" s="27" t="s">
        <v>62</v>
      </c>
      <c r="AJ156" s="113" t="s">
        <v>52</v>
      </c>
      <c r="AK156" s="38" t="s">
        <v>62</v>
      </c>
    </row>
    <row r="157" spans="1:37">
      <c r="A157" s="41" t="s">
        <v>966</v>
      </c>
      <c r="B157" s="27" t="s">
        <v>936</v>
      </c>
      <c r="C157" s="43" t="s">
        <v>917</v>
      </c>
      <c r="D157" s="27" t="s">
        <v>562</v>
      </c>
      <c r="F157" s="27" t="s">
        <v>967</v>
      </c>
      <c r="G157" t="s">
        <v>968</v>
      </c>
      <c r="H157" s="27" t="s">
        <v>37</v>
      </c>
      <c r="I157" s="27" t="s">
        <v>969</v>
      </c>
      <c r="J157"/>
      <c r="K157"/>
      <c r="L157"/>
      <c r="M157">
        <v>0.889</v>
      </c>
      <c r="N157" s="27" t="s">
        <v>926</v>
      </c>
      <c r="P157" s="27" t="s">
        <v>967</v>
      </c>
      <c r="Q157" s="27" t="s">
        <v>970</v>
      </c>
      <c r="R157" s="27" t="s">
        <v>969</v>
      </c>
      <c r="S157" s="27">
        <v>5419</v>
      </c>
      <c r="U157" s="27" t="s">
        <v>971</v>
      </c>
      <c r="V157" t="s">
        <v>968</v>
      </c>
      <c r="W157"/>
      <c r="X157" s="27" t="s">
        <v>37</v>
      </c>
      <c r="Y157" s="27" t="s">
        <v>216</v>
      </c>
      <c r="Z157">
        <v>0.202</v>
      </c>
      <c r="AA157">
        <v>0.15</v>
      </c>
      <c r="AB157">
        <v>0.3</v>
      </c>
      <c r="AC157">
        <v>0.889</v>
      </c>
      <c r="AD157" t="s">
        <v>42</v>
      </c>
      <c r="AE157" s="7">
        <v>178</v>
      </c>
      <c r="AF157" s="7">
        <v>23</v>
      </c>
      <c r="AG157" s="7">
        <v>365</v>
      </c>
      <c r="AH157" s="7">
        <v>46</v>
      </c>
      <c r="AI157" s="27" t="s">
        <v>83</v>
      </c>
      <c r="AJ157" s="113" t="s">
        <v>44</v>
      </c>
      <c r="AK157" s="38" t="s">
        <v>45</v>
      </c>
    </row>
    <row r="158" spans="1:37">
      <c r="A158" s="41" t="s">
        <v>972</v>
      </c>
      <c r="B158" s="27" t="s">
        <v>936</v>
      </c>
      <c r="C158" s="43" t="s">
        <v>917</v>
      </c>
      <c r="D158" s="27" t="s">
        <v>562</v>
      </c>
      <c r="F158" s="122" t="s">
        <v>304</v>
      </c>
      <c r="G158" t="s">
        <v>973</v>
      </c>
      <c r="H158" s="27" t="s">
        <v>37</v>
      </c>
      <c r="I158" s="27">
        <v>7885</v>
      </c>
      <c r="J158"/>
      <c r="K158"/>
      <c r="L158"/>
      <c r="M158">
        <v>0.505</v>
      </c>
      <c r="N158" s="27" t="s">
        <v>932</v>
      </c>
      <c r="P158" s="122" t="s">
        <v>304</v>
      </c>
      <c r="Q158" s="27" t="s">
        <v>974</v>
      </c>
      <c r="R158" s="27">
        <v>7885</v>
      </c>
      <c r="S158" s="27">
        <v>79252</v>
      </c>
      <c r="U158" s="27" t="s">
        <v>975</v>
      </c>
      <c r="V158" t="s">
        <v>973</v>
      </c>
      <c r="W158"/>
      <c r="X158" s="27" t="s">
        <v>37</v>
      </c>
      <c r="Y158" s="27" t="s">
        <v>216</v>
      </c>
      <c r="Z158">
        <v>0.315</v>
      </c>
      <c r="AA158">
        <v>0.315</v>
      </c>
      <c r="AB158">
        <v>72.6</v>
      </c>
      <c r="AC158">
        <v>0.505</v>
      </c>
      <c r="AD158" t="s">
        <v>42</v>
      </c>
      <c r="AE158" s="7">
        <v>10</v>
      </c>
      <c r="AF158" s="7">
        <v>5</v>
      </c>
      <c r="AG158" s="7">
        <v>22</v>
      </c>
      <c r="AH158" s="7">
        <v>10</v>
      </c>
      <c r="AI158" s="27" t="s">
        <v>83</v>
      </c>
      <c r="AJ158" s="113" t="s">
        <v>44</v>
      </c>
      <c r="AK158" s="38" t="s">
        <v>45</v>
      </c>
    </row>
    <row r="159" spans="1:37">
      <c r="A159" s="33" t="s">
        <v>976</v>
      </c>
      <c r="B159" s="42" t="s">
        <v>977</v>
      </c>
      <c r="C159" s="27" t="s">
        <v>978</v>
      </c>
      <c r="D159" s="27" t="s">
        <v>438</v>
      </c>
      <c r="E159" s="27" t="s">
        <v>67</v>
      </c>
      <c r="F159" s="122" t="s">
        <v>979</v>
      </c>
      <c r="G159" t="s">
        <v>980</v>
      </c>
      <c r="H159" s="27" t="s">
        <v>37</v>
      </c>
      <c r="I159" s="59" t="s">
        <v>107</v>
      </c>
      <c r="J159"/>
      <c r="K159"/>
      <c r="L159"/>
      <c r="M159" s="123" t="s">
        <v>981</v>
      </c>
      <c r="N159" s="27" t="s">
        <v>442</v>
      </c>
      <c r="O159" s="27" t="s">
        <v>67</v>
      </c>
      <c r="P159" s="122" t="s">
        <v>979</v>
      </c>
      <c r="Q159" s="59" t="s">
        <v>982</v>
      </c>
      <c r="R159" s="59" t="s">
        <v>107</v>
      </c>
      <c r="S159" s="27">
        <v>347882</v>
      </c>
      <c r="U159" s="27" t="s">
        <v>983</v>
      </c>
      <c r="V159" t="s">
        <v>980</v>
      </c>
      <c r="W159"/>
      <c r="X159" s="27" t="s">
        <v>37</v>
      </c>
      <c r="Y159" s="27" t="s">
        <v>41</v>
      </c>
      <c r="Z159">
        <v>0.000567</v>
      </c>
      <c r="AA159" s="36">
        <v>0.0785</v>
      </c>
      <c r="AB159">
        <v>89</v>
      </c>
      <c r="AC159" s="123" t="s">
        <v>981</v>
      </c>
      <c r="AD159">
        <v>2683</v>
      </c>
      <c r="AE159" t="s">
        <v>42</v>
      </c>
      <c r="AF159" t="s">
        <v>42</v>
      </c>
      <c r="AG159" t="s">
        <v>42</v>
      </c>
      <c r="AH159" t="s">
        <v>42</v>
      </c>
      <c r="AI159" s="27" t="s">
        <v>62</v>
      </c>
      <c r="AJ159" s="113" t="s">
        <v>111</v>
      </c>
      <c r="AK159" s="49" t="s">
        <v>45</v>
      </c>
    </row>
    <row r="160" spans="1:37">
      <c r="A160" s="33" t="s">
        <v>984</v>
      </c>
      <c r="B160" s="42" t="s">
        <v>977</v>
      </c>
      <c r="C160" s="27" t="s">
        <v>978</v>
      </c>
      <c r="D160" s="27" t="s">
        <v>438</v>
      </c>
      <c r="E160" s="27" t="s">
        <v>985</v>
      </c>
      <c r="F160" s="122" t="s">
        <v>332</v>
      </c>
      <c r="G160" t="s">
        <v>986</v>
      </c>
      <c r="H160" s="27" t="s">
        <v>37</v>
      </c>
      <c r="I160" s="27">
        <v>5140</v>
      </c>
      <c r="J160"/>
      <c r="K160"/>
      <c r="L160"/>
      <c r="M160">
        <v>0.746</v>
      </c>
      <c r="N160" s="27" t="s">
        <v>442</v>
      </c>
      <c r="O160" s="27" t="s">
        <v>985</v>
      </c>
      <c r="P160" s="122" t="s">
        <v>332</v>
      </c>
      <c r="Q160" s="27" t="s">
        <v>987</v>
      </c>
      <c r="R160" s="27">
        <v>5140</v>
      </c>
      <c r="S160" s="27">
        <v>52538</v>
      </c>
      <c r="U160" s="27" t="s">
        <v>988</v>
      </c>
      <c r="V160" t="s">
        <v>986</v>
      </c>
      <c r="W160"/>
      <c r="X160" s="27" t="s">
        <v>37</v>
      </c>
      <c r="Y160" s="27" t="s">
        <v>41</v>
      </c>
      <c r="Z160">
        <v>0.598</v>
      </c>
      <c r="AA160" s="36">
        <v>0.671</v>
      </c>
      <c r="AB160">
        <v>48.6</v>
      </c>
      <c r="AC160">
        <v>0.746</v>
      </c>
      <c r="AD160" t="s">
        <v>42</v>
      </c>
      <c r="AE160">
        <v>252</v>
      </c>
      <c r="AF160">
        <v>159</v>
      </c>
      <c r="AG160">
        <v>519</v>
      </c>
      <c r="AH160">
        <v>326</v>
      </c>
      <c r="AI160" s="27" t="s">
        <v>62</v>
      </c>
      <c r="AJ160" s="113" t="s">
        <v>44</v>
      </c>
      <c r="AK160" s="49" t="s">
        <v>62</v>
      </c>
    </row>
    <row r="161" spans="1:37">
      <c r="A161" s="33" t="s">
        <v>989</v>
      </c>
      <c r="B161" s="42" t="s">
        <v>977</v>
      </c>
      <c r="C161" s="27" t="s">
        <v>978</v>
      </c>
      <c r="D161" s="27" t="s">
        <v>438</v>
      </c>
      <c r="E161" s="27" t="s">
        <v>990</v>
      </c>
      <c r="F161" s="122" t="s">
        <v>332</v>
      </c>
      <c r="G161" t="s">
        <v>991</v>
      </c>
      <c r="H161" s="27" t="s">
        <v>37</v>
      </c>
      <c r="I161" s="27">
        <v>2220</v>
      </c>
      <c r="J161"/>
      <c r="K161"/>
      <c r="L161"/>
      <c r="M161">
        <v>0.000141</v>
      </c>
      <c r="N161" s="27" t="s">
        <v>442</v>
      </c>
      <c r="O161" s="27" t="s">
        <v>990</v>
      </c>
      <c r="P161" s="122" t="s">
        <v>332</v>
      </c>
      <c r="Q161" s="27" t="s">
        <v>992</v>
      </c>
      <c r="R161" s="27">
        <v>2220</v>
      </c>
      <c r="S161" s="27">
        <v>35898</v>
      </c>
      <c r="U161" s="27" t="s">
        <v>993</v>
      </c>
      <c r="V161" t="s">
        <v>991</v>
      </c>
      <c r="W161"/>
      <c r="X161" s="27" t="s">
        <v>37</v>
      </c>
      <c r="Y161" s="27" t="s">
        <v>41</v>
      </c>
      <c r="Z161">
        <v>0.959</v>
      </c>
      <c r="AA161" s="36">
        <v>0.651</v>
      </c>
      <c r="AB161">
        <v>33.8</v>
      </c>
      <c r="AC161">
        <v>0.000141</v>
      </c>
      <c r="AD161">
        <v>190</v>
      </c>
      <c r="AE161" t="s">
        <v>42</v>
      </c>
      <c r="AF161" t="s">
        <v>42</v>
      </c>
      <c r="AG161" t="s">
        <v>42</v>
      </c>
      <c r="AH161" t="s">
        <v>42</v>
      </c>
      <c r="AI161" s="27" t="s">
        <v>62</v>
      </c>
      <c r="AJ161" s="113" t="s">
        <v>52</v>
      </c>
      <c r="AK161" s="49" t="s">
        <v>146</v>
      </c>
    </row>
    <row r="162" spans="1:37">
      <c r="A162" s="33" t="s">
        <v>994</v>
      </c>
      <c r="B162" s="42" t="s">
        <v>977</v>
      </c>
      <c r="C162" s="27" t="s">
        <v>978</v>
      </c>
      <c r="D162" s="27" t="s">
        <v>438</v>
      </c>
      <c r="E162" s="27" t="s">
        <v>995</v>
      </c>
      <c r="F162" s="122" t="s">
        <v>332</v>
      </c>
      <c r="G162" t="s">
        <v>996</v>
      </c>
      <c r="H162" s="27" t="s">
        <v>37</v>
      </c>
      <c r="I162" s="27">
        <v>106</v>
      </c>
      <c r="J162"/>
      <c r="K162"/>
      <c r="L162"/>
      <c r="M162">
        <v>0.000909</v>
      </c>
      <c r="N162" s="27" t="s">
        <v>442</v>
      </c>
      <c r="O162" s="27" t="s">
        <v>995</v>
      </c>
      <c r="P162" s="122" t="s">
        <v>332</v>
      </c>
      <c r="Q162" s="27" t="s">
        <v>997</v>
      </c>
      <c r="R162" s="27">
        <v>106</v>
      </c>
      <c r="S162" s="27">
        <v>861</v>
      </c>
      <c r="U162" s="27" t="s">
        <v>998</v>
      </c>
      <c r="V162" t="s">
        <v>996</v>
      </c>
      <c r="W162"/>
      <c r="X162" s="27" t="s">
        <v>37</v>
      </c>
      <c r="Y162" s="27" t="s">
        <v>41</v>
      </c>
      <c r="Z162">
        <v>0.00608</v>
      </c>
      <c r="AA162" s="36">
        <v>0.83</v>
      </c>
      <c r="AB162">
        <v>0</v>
      </c>
      <c r="AC162">
        <v>0.000909</v>
      </c>
      <c r="AD162">
        <v>13</v>
      </c>
      <c r="AE162" t="s">
        <v>42</v>
      </c>
      <c r="AF162" t="s">
        <v>42</v>
      </c>
      <c r="AG162" t="s">
        <v>42</v>
      </c>
      <c r="AH162" t="s">
        <v>42</v>
      </c>
      <c r="AI162" s="27" t="s">
        <v>62</v>
      </c>
      <c r="AJ162" s="113" t="s">
        <v>63</v>
      </c>
      <c r="AK162" s="49" t="s">
        <v>62</v>
      </c>
    </row>
    <row r="163" spans="1:37">
      <c r="A163" s="33" t="s">
        <v>999</v>
      </c>
      <c r="B163" s="42" t="s">
        <v>977</v>
      </c>
      <c r="C163" s="27" t="s">
        <v>978</v>
      </c>
      <c r="D163" s="27" t="s">
        <v>438</v>
      </c>
      <c r="E163" s="27" t="s">
        <v>1000</v>
      </c>
      <c r="F163" s="122" t="s">
        <v>332</v>
      </c>
      <c r="G163" t="s">
        <v>1001</v>
      </c>
      <c r="H163" s="27" t="s">
        <v>37</v>
      </c>
      <c r="I163" s="27">
        <v>1016</v>
      </c>
      <c r="J163"/>
      <c r="K163"/>
      <c r="L163"/>
      <c r="M163">
        <v>0.000987</v>
      </c>
      <c r="N163" s="27" t="s">
        <v>442</v>
      </c>
      <c r="O163" s="27" t="s">
        <v>1000</v>
      </c>
      <c r="P163" s="122" t="s">
        <v>332</v>
      </c>
      <c r="Q163" s="27" t="s">
        <v>1002</v>
      </c>
      <c r="R163" s="27">
        <v>1016</v>
      </c>
      <c r="S163" s="27">
        <v>3055</v>
      </c>
      <c r="U163" s="27" t="s">
        <v>1003</v>
      </c>
      <c r="V163" t="s">
        <v>1001</v>
      </c>
      <c r="W163"/>
      <c r="X163" s="27" t="s">
        <v>37</v>
      </c>
      <c r="Y163" s="27" t="s">
        <v>41</v>
      </c>
      <c r="Z163">
        <v>0.924</v>
      </c>
      <c r="AA163" s="36">
        <v>0.259</v>
      </c>
      <c r="AB163">
        <v>0.1</v>
      </c>
      <c r="AC163">
        <v>0.000987</v>
      </c>
      <c r="AD163">
        <v>76</v>
      </c>
      <c r="AE163" t="s">
        <v>42</v>
      </c>
      <c r="AF163" t="s">
        <v>42</v>
      </c>
      <c r="AG163" t="s">
        <v>42</v>
      </c>
      <c r="AH163" t="s">
        <v>42</v>
      </c>
      <c r="AI163" s="27" t="s">
        <v>62</v>
      </c>
      <c r="AJ163" s="113" t="s">
        <v>52</v>
      </c>
      <c r="AK163" s="49" t="s">
        <v>146</v>
      </c>
    </row>
    <row r="164" spans="1:37">
      <c r="A164" s="33" t="s">
        <v>1004</v>
      </c>
      <c r="B164" s="42" t="s">
        <v>977</v>
      </c>
      <c r="C164" s="27" t="s">
        <v>978</v>
      </c>
      <c r="D164" s="27" t="s">
        <v>438</v>
      </c>
      <c r="E164" s="27" t="s">
        <v>1005</v>
      </c>
      <c r="F164" s="122" t="s">
        <v>332</v>
      </c>
      <c r="G164" t="s">
        <v>1006</v>
      </c>
      <c r="H164" s="27" t="s">
        <v>37</v>
      </c>
      <c r="I164" s="27">
        <v>100</v>
      </c>
      <c r="J164"/>
      <c r="K164"/>
      <c r="L164"/>
      <c r="M164">
        <v>0.00018</v>
      </c>
      <c r="N164" s="27" t="s">
        <v>442</v>
      </c>
      <c r="O164" s="27" t="s">
        <v>1005</v>
      </c>
      <c r="P164" s="122" t="s">
        <v>332</v>
      </c>
      <c r="Q164" s="27" t="s">
        <v>1007</v>
      </c>
      <c r="R164" s="27">
        <v>100</v>
      </c>
      <c r="S164" s="27">
        <v>936</v>
      </c>
      <c r="U164" s="27" t="s">
        <v>1008</v>
      </c>
      <c r="V164" t="s">
        <v>1006</v>
      </c>
      <c r="W164"/>
      <c r="X164" s="27" t="s">
        <v>37</v>
      </c>
      <c r="Y164" s="27" t="s">
        <v>41</v>
      </c>
      <c r="Z164">
        <v>0.467</v>
      </c>
      <c r="AA164" s="36">
        <v>0.266</v>
      </c>
      <c r="AB164">
        <v>0</v>
      </c>
      <c r="AC164">
        <v>0.00018</v>
      </c>
      <c r="AD164">
        <v>35</v>
      </c>
      <c r="AE164" t="s">
        <v>42</v>
      </c>
      <c r="AF164" t="s">
        <v>42</v>
      </c>
      <c r="AG164" t="s">
        <v>42</v>
      </c>
      <c r="AH164" t="s">
        <v>42</v>
      </c>
      <c r="AI164" s="27" t="s">
        <v>62</v>
      </c>
      <c r="AJ164" s="113" t="s">
        <v>63</v>
      </c>
      <c r="AK164" s="38" t="s">
        <v>62</v>
      </c>
    </row>
    <row r="165" spans="1:37">
      <c r="A165" s="33" t="s">
        <v>1009</v>
      </c>
      <c r="B165" s="42" t="s">
        <v>977</v>
      </c>
      <c r="C165" s="27" t="s">
        <v>978</v>
      </c>
      <c r="D165" s="27" t="s">
        <v>438</v>
      </c>
      <c r="E165" s="27" t="s">
        <v>1010</v>
      </c>
      <c r="F165" s="122" t="s">
        <v>332</v>
      </c>
      <c r="G165" t="s">
        <v>1011</v>
      </c>
      <c r="H165" s="27" t="s">
        <v>37</v>
      </c>
      <c r="I165" s="27">
        <v>734</v>
      </c>
      <c r="J165"/>
      <c r="K165"/>
      <c r="L165"/>
      <c r="M165">
        <v>0.00353</v>
      </c>
      <c r="N165" s="27" t="s">
        <v>442</v>
      </c>
      <c r="O165" s="27" t="s">
        <v>1010</v>
      </c>
      <c r="P165" s="122" t="s">
        <v>332</v>
      </c>
      <c r="Q165" s="27" t="s">
        <v>1012</v>
      </c>
      <c r="R165" s="27">
        <v>734</v>
      </c>
      <c r="S165" s="27">
        <v>1802</v>
      </c>
      <c r="U165" s="27" t="s">
        <v>1013</v>
      </c>
      <c r="V165" t="s">
        <v>1011</v>
      </c>
      <c r="W165"/>
      <c r="X165" s="27" t="s">
        <v>37</v>
      </c>
      <c r="Y165" s="27" t="s">
        <v>41</v>
      </c>
      <c r="Z165">
        <v>0.0331</v>
      </c>
      <c r="AA165" s="36">
        <v>0.542</v>
      </c>
      <c r="AB165">
        <v>68.4</v>
      </c>
      <c r="AC165">
        <v>0.00353</v>
      </c>
      <c r="AD165">
        <v>209</v>
      </c>
      <c r="AE165" t="s">
        <v>42</v>
      </c>
      <c r="AF165" t="s">
        <v>42</v>
      </c>
      <c r="AG165" t="s">
        <v>42</v>
      </c>
      <c r="AH165" t="s">
        <v>42</v>
      </c>
      <c r="AI165" s="27" t="s">
        <v>62</v>
      </c>
      <c r="AJ165" s="113" t="s">
        <v>63</v>
      </c>
      <c r="AK165" s="49" t="s">
        <v>45</v>
      </c>
    </row>
    <row r="166" spans="1:37">
      <c r="A166" s="41" t="s">
        <v>1014</v>
      </c>
      <c r="B166" s="42" t="s">
        <v>1015</v>
      </c>
      <c r="C166" s="43" t="s">
        <v>1016</v>
      </c>
      <c r="D166" s="27" t="s">
        <v>33</v>
      </c>
      <c r="F166" s="123" t="s">
        <v>1017</v>
      </c>
      <c r="G166" s="40" t="s">
        <v>1018</v>
      </c>
      <c r="H166" s="27" t="s">
        <v>37</v>
      </c>
      <c r="I166" s="27">
        <v>17890</v>
      </c>
      <c r="J166" s="40"/>
      <c r="K166" s="40"/>
      <c r="L166" s="40"/>
      <c r="M166" s="40">
        <v>0.71</v>
      </c>
      <c r="N166" s="27" t="s">
        <v>38</v>
      </c>
      <c r="P166" s="123" t="s">
        <v>1017</v>
      </c>
      <c r="Q166" s="27" t="s">
        <v>1019</v>
      </c>
      <c r="R166" s="27">
        <v>17890</v>
      </c>
      <c r="S166" s="27">
        <v>1810258</v>
      </c>
      <c r="U166" s="27" t="s">
        <v>1020</v>
      </c>
      <c r="V166" s="40" t="s">
        <v>1018</v>
      </c>
      <c r="W166" s="40"/>
      <c r="X166" s="27" t="s">
        <v>37</v>
      </c>
      <c r="Y166" s="27" t="s">
        <v>216</v>
      </c>
      <c r="Z166" s="40">
        <v>0.586</v>
      </c>
      <c r="AA166" s="40">
        <v>0.0845</v>
      </c>
      <c r="AB166" s="40">
        <v>67</v>
      </c>
      <c r="AC166" s="40">
        <v>0.71</v>
      </c>
      <c r="AD166" t="s">
        <v>42</v>
      </c>
      <c r="AE166" s="40">
        <v>250</v>
      </c>
      <c r="AF166" s="40">
        <v>21</v>
      </c>
      <c r="AG166" s="40">
        <v>522</v>
      </c>
      <c r="AH166" s="40">
        <v>35</v>
      </c>
      <c r="AI166" s="27" t="s">
        <v>62</v>
      </c>
      <c r="AJ166" s="113" t="s">
        <v>44</v>
      </c>
      <c r="AK166" s="38" t="s">
        <v>45</v>
      </c>
    </row>
    <row r="167" spans="1:37">
      <c r="A167" s="41" t="s">
        <v>1021</v>
      </c>
      <c r="B167" s="42" t="s">
        <v>1015</v>
      </c>
      <c r="C167" s="43" t="s">
        <v>1022</v>
      </c>
      <c r="D167" s="28" t="s">
        <v>556</v>
      </c>
      <c r="F167" s="124" t="s">
        <v>1023</v>
      </c>
      <c r="G167" t="s">
        <v>1024</v>
      </c>
      <c r="H167" s="27" t="s">
        <v>37</v>
      </c>
      <c r="I167" s="27">
        <v>15746</v>
      </c>
      <c r="J167"/>
      <c r="K167"/>
      <c r="L167"/>
      <c r="M167">
        <v>0.138</v>
      </c>
      <c r="N167" s="27" t="s">
        <v>558</v>
      </c>
      <c r="P167" s="124" t="s">
        <v>1023</v>
      </c>
      <c r="Q167" s="27" t="s">
        <v>1025</v>
      </c>
      <c r="R167" s="27">
        <v>15746</v>
      </c>
      <c r="S167" s="27">
        <v>1829256</v>
      </c>
      <c r="U167" s="27" t="s">
        <v>1026</v>
      </c>
      <c r="V167" t="s">
        <v>1024</v>
      </c>
      <c r="W167"/>
      <c r="X167" s="27" t="s">
        <v>37</v>
      </c>
      <c r="Y167" s="27" t="s">
        <v>1027</v>
      </c>
      <c r="Z167">
        <v>0.146</v>
      </c>
      <c r="AA167">
        <v>0.288</v>
      </c>
      <c r="AB167">
        <v>94.8</v>
      </c>
      <c r="AC167">
        <v>0.138</v>
      </c>
      <c r="AD167" t="s">
        <v>42</v>
      </c>
      <c r="AE167" s="7">
        <v>11</v>
      </c>
      <c r="AF167" s="7">
        <v>9</v>
      </c>
      <c r="AG167" s="7">
        <v>37</v>
      </c>
      <c r="AH167" s="7">
        <v>30</v>
      </c>
      <c r="AI167" s="27" t="s">
        <v>62</v>
      </c>
      <c r="AJ167" s="113" t="s">
        <v>44</v>
      </c>
      <c r="AK167" s="38" t="s">
        <v>45</v>
      </c>
    </row>
    <row r="168" spans="1:37">
      <c r="A168" s="41" t="s">
        <v>1028</v>
      </c>
      <c r="B168" s="42" t="s">
        <v>1015</v>
      </c>
      <c r="C168" s="43" t="s">
        <v>917</v>
      </c>
      <c r="D168" s="27" t="s">
        <v>562</v>
      </c>
      <c r="F168" s="122" t="s">
        <v>967</v>
      </c>
      <c r="G168" s="40" t="s">
        <v>1029</v>
      </c>
      <c r="H168" s="27" t="s">
        <v>37</v>
      </c>
      <c r="I168" s="27" t="s">
        <v>43</v>
      </c>
      <c r="J168" s="40"/>
      <c r="K168" s="40"/>
      <c r="L168" s="40"/>
      <c r="M168" s="40">
        <v>0.434</v>
      </c>
      <c r="N168" s="27" t="s">
        <v>926</v>
      </c>
      <c r="P168" s="122" t="s">
        <v>967</v>
      </c>
      <c r="Q168" s="27" t="s">
        <v>1030</v>
      </c>
      <c r="R168" s="27" t="s">
        <v>43</v>
      </c>
      <c r="S168" s="27">
        <v>6181</v>
      </c>
      <c r="U168" s="27" t="s">
        <v>1031</v>
      </c>
      <c r="V168" s="40" t="s">
        <v>1029</v>
      </c>
      <c r="W168" s="40"/>
      <c r="X168" s="27" t="s">
        <v>37</v>
      </c>
      <c r="Y168" s="27" t="s">
        <v>216</v>
      </c>
      <c r="Z168" s="40">
        <v>0.0544</v>
      </c>
      <c r="AA168" s="40">
        <v>1</v>
      </c>
      <c r="AB168" s="40">
        <v>0</v>
      </c>
      <c r="AC168" s="40">
        <v>0.434</v>
      </c>
      <c r="AE168" s="7">
        <v>23</v>
      </c>
      <c r="AF168" s="7">
        <v>45</v>
      </c>
      <c r="AG168" s="7">
        <v>48</v>
      </c>
      <c r="AH168" s="7">
        <v>96</v>
      </c>
      <c r="AI168" s="27" t="s">
        <v>83</v>
      </c>
      <c r="AJ168" s="113" t="s">
        <v>44</v>
      </c>
      <c r="AK168" s="38" t="s">
        <v>45</v>
      </c>
    </row>
    <row r="169" spans="1:37">
      <c r="A169" s="41" t="s">
        <v>1032</v>
      </c>
      <c r="B169" s="42" t="s">
        <v>1015</v>
      </c>
      <c r="C169" s="43" t="s">
        <v>917</v>
      </c>
      <c r="D169" s="27" t="s">
        <v>562</v>
      </c>
      <c r="F169" s="124" t="s">
        <v>1033</v>
      </c>
      <c r="G169" t="s">
        <v>1034</v>
      </c>
      <c r="H169" s="27" t="s">
        <v>37</v>
      </c>
      <c r="I169" s="27">
        <v>1410</v>
      </c>
      <c r="J169"/>
      <c r="K169"/>
      <c r="L169"/>
      <c r="M169">
        <v>0.0458</v>
      </c>
      <c r="N169" s="27" t="s">
        <v>932</v>
      </c>
      <c r="P169" s="124" t="s">
        <v>1033</v>
      </c>
      <c r="Q169" s="27" t="s">
        <v>1035</v>
      </c>
      <c r="R169" s="27">
        <v>1410</v>
      </c>
      <c r="S169" s="27">
        <v>61489</v>
      </c>
      <c r="U169" s="27" t="s">
        <v>1036</v>
      </c>
      <c r="V169" t="s">
        <v>1034</v>
      </c>
      <c r="W169"/>
      <c r="X169" s="27" t="s">
        <v>37</v>
      </c>
      <c r="Y169" s="27" t="s">
        <v>216</v>
      </c>
      <c r="Z169">
        <v>0.213</v>
      </c>
      <c r="AA169">
        <v>1</v>
      </c>
      <c r="AB169">
        <v>0</v>
      </c>
      <c r="AC169">
        <v>0.0458</v>
      </c>
      <c r="AD169" s="48">
        <v>4</v>
      </c>
      <c r="AE169" t="s">
        <v>42</v>
      </c>
      <c r="AF169" t="s">
        <v>42</v>
      </c>
      <c r="AG169" t="s">
        <v>42</v>
      </c>
      <c r="AH169" t="s">
        <v>42</v>
      </c>
      <c r="AI169" s="27" t="s">
        <v>83</v>
      </c>
      <c r="AJ169" s="113" t="s">
        <v>63</v>
      </c>
      <c r="AK169" s="38" t="s">
        <v>45</v>
      </c>
    </row>
    <row r="170" spans="1:37">
      <c r="A170" s="41" t="s">
        <v>1037</v>
      </c>
      <c r="B170" s="42" t="s">
        <v>1038</v>
      </c>
      <c r="C170" s="27" t="s">
        <v>1039</v>
      </c>
      <c r="D170" s="27" t="s">
        <v>33</v>
      </c>
      <c r="F170" s="122" t="s">
        <v>77</v>
      </c>
      <c r="G170" t="s">
        <v>1040</v>
      </c>
      <c r="H170" s="27" t="s">
        <v>79</v>
      </c>
      <c r="I170" s="27">
        <v>8258</v>
      </c>
      <c r="J170"/>
      <c r="K170"/>
      <c r="L170"/>
      <c r="M170">
        <v>0.0289</v>
      </c>
      <c r="N170" s="27" t="s">
        <v>38</v>
      </c>
      <c r="P170" s="122" t="s">
        <v>77</v>
      </c>
      <c r="Q170" s="27" t="s">
        <v>1041</v>
      </c>
      <c r="R170" s="27">
        <v>8258</v>
      </c>
      <c r="S170" s="27">
        <v>3106024</v>
      </c>
      <c r="U170" s="27" t="s">
        <v>1042</v>
      </c>
      <c r="V170" t="s">
        <v>1040</v>
      </c>
      <c r="W170"/>
      <c r="X170" s="27" t="s">
        <v>79</v>
      </c>
      <c r="Y170" s="27" t="s">
        <v>216</v>
      </c>
      <c r="Z170">
        <v>0.03</v>
      </c>
      <c r="AA170">
        <v>0.527</v>
      </c>
      <c r="AB170">
        <v>39.7</v>
      </c>
      <c r="AC170">
        <v>0.0289</v>
      </c>
      <c r="AD170" s="7">
        <v>34</v>
      </c>
      <c r="AE170" t="s">
        <v>42</v>
      </c>
      <c r="AF170" t="s">
        <v>42</v>
      </c>
      <c r="AG170" t="s">
        <v>42</v>
      </c>
      <c r="AH170" t="s">
        <v>42</v>
      </c>
      <c r="AI170" s="27" t="s">
        <v>62</v>
      </c>
      <c r="AJ170" s="113" t="s">
        <v>63</v>
      </c>
      <c r="AK170" s="38" t="s">
        <v>45</v>
      </c>
    </row>
    <row r="171" spans="1:37">
      <c r="A171" s="41" t="s">
        <v>1043</v>
      </c>
      <c r="B171" s="42" t="s">
        <v>1044</v>
      </c>
      <c r="C171" s="27" t="s">
        <v>1045</v>
      </c>
      <c r="D171" s="27" t="s">
        <v>438</v>
      </c>
      <c r="F171" s="124" t="s">
        <v>77</v>
      </c>
      <c r="G171" t="s">
        <v>1046</v>
      </c>
      <c r="H171" s="27" t="s">
        <v>79</v>
      </c>
      <c r="I171" s="27">
        <v>1756</v>
      </c>
      <c r="J171"/>
      <c r="K171"/>
      <c r="L171"/>
      <c r="M171">
        <v>0.0417</v>
      </c>
      <c r="N171" s="27" t="s">
        <v>442</v>
      </c>
      <c r="P171" s="124" t="s">
        <v>77</v>
      </c>
      <c r="Q171" s="27" t="s">
        <v>1047</v>
      </c>
      <c r="R171" s="27">
        <v>1756</v>
      </c>
      <c r="S171" s="27">
        <v>412348</v>
      </c>
      <c r="U171" s="27" t="s">
        <v>1048</v>
      </c>
      <c r="V171" t="s">
        <v>1046</v>
      </c>
      <c r="W171"/>
      <c r="X171" s="27" t="s">
        <v>79</v>
      </c>
      <c r="Y171" s="27" t="s">
        <v>216</v>
      </c>
      <c r="Z171">
        <v>0.0121</v>
      </c>
      <c r="AA171">
        <v>0.105</v>
      </c>
      <c r="AB171">
        <v>6.4</v>
      </c>
      <c r="AC171">
        <v>0.0417</v>
      </c>
      <c r="AD171" s="7">
        <v>35</v>
      </c>
      <c r="AE171" t="s">
        <v>42</v>
      </c>
      <c r="AF171" t="s">
        <v>42</v>
      </c>
      <c r="AG171" t="s">
        <v>42</v>
      </c>
      <c r="AH171" t="s">
        <v>42</v>
      </c>
      <c r="AI171" s="27" t="s">
        <v>62</v>
      </c>
      <c r="AJ171" s="113" t="s">
        <v>63</v>
      </c>
      <c r="AK171" s="38" t="s">
        <v>45</v>
      </c>
    </row>
    <row r="172" spans="1:37">
      <c r="A172" s="41" t="s">
        <v>1049</v>
      </c>
      <c r="B172" s="42" t="s">
        <v>1050</v>
      </c>
      <c r="C172" s="27" t="s">
        <v>1051</v>
      </c>
      <c r="D172" s="27" t="s">
        <v>33</v>
      </c>
      <c r="F172" s="122" t="s">
        <v>86</v>
      </c>
      <c r="G172" t="s">
        <v>1052</v>
      </c>
      <c r="H172" s="27" t="s">
        <v>79</v>
      </c>
      <c r="I172" s="27">
        <v>10278</v>
      </c>
      <c r="J172"/>
      <c r="K172"/>
      <c r="L172"/>
      <c r="M172">
        <v>0.0397</v>
      </c>
      <c r="N172" s="27" t="s">
        <v>38</v>
      </c>
      <c r="P172" s="122" t="s">
        <v>86</v>
      </c>
      <c r="Q172" s="27" t="s">
        <v>1053</v>
      </c>
      <c r="R172" s="27">
        <v>10278</v>
      </c>
      <c r="S172" s="27">
        <v>2444910</v>
      </c>
      <c r="U172" s="27" t="s">
        <v>1054</v>
      </c>
      <c r="V172" t="s">
        <v>1052</v>
      </c>
      <c r="W172"/>
      <c r="X172" s="27" t="s">
        <v>79</v>
      </c>
      <c r="Y172" s="27" t="s">
        <v>216</v>
      </c>
      <c r="Z172" s="40">
        <v>0.821</v>
      </c>
      <c r="AA172" s="40">
        <v>0.219</v>
      </c>
      <c r="AB172">
        <v>65.4</v>
      </c>
      <c r="AC172">
        <v>0.0397</v>
      </c>
      <c r="AD172" s="7">
        <v>57</v>
      </c>
      <c r="AE172" t="s">
        <v>42</v>
      </c>
      <c r="AF172" t="s">
        <v>42</v>
      </c>
      <c r="AG172" t="s">
        <v>42</v>
      </c>
      <c r="AH172" t="s">
        <v>42</v>
      </c>
      <c r="AI172" s="27" t="s">
        <v>83</v>
      </c>
      <c r="AJ172" s="113" t="s">
        <v>63</v>
      </c>
      <c r="AK172" s="38" t="s">
        <v>45</v>
      </c>
    </row>
    <row r="173" spans="1:37">
      <c r="A173" s="41" t="s">
        <v>1055</v>
      </c>
      <c r="B173" s="42" t="s">
        <v>1056</v>
      </c>
      <c r="C173" s="43" t="s">
        <v>1057</v>
      </c>
      <c r="D173" s="27" t="s">
        <v>438</v>
      </c>
      <c r="F173" s="122" t="s">
        <v>343</v>
      </c>
      <c r="G173" t="s">
        <v>1058</v>
      </c>
      <c r="H173" s="27" t="s">
        <v>37</v>
      </c>
      <c r="I173" s="27">
        <v>5754</v>
      </c>
      <c r="J173"/>
      <c r="K173"/>
      <c r="L173"/>
      <c r="M173">
        <v>0.0405</v>
      </c>
      <c r="N173" s="27" t="s">
        <v>783</v>
      </c>
      <c r="P173" s="122" t="s">
        <v>343</v>
      </c>
      <c r="Q173" s="27" t="s">
        <v>1059</v>
      </c>
      <c r="R173" s="27">
        <v>5754</v>
      </c>
      <c r="S173" s="27">
        <v>30519</v>
      </c>
      <c r="U173" s="27" t="s">
        <v>1060</v>
      </c>
      <c r="V173" t="s">
        <v>1058</v>
      </c>
      <c r="W173"/>
      <c r="X173" s="27" t="s">
        <v>37</v>
      </c>
      <c r="Y173" s="27" t="s">
        <v>216</v>
      </c>
      <c r="Z173" s="40">
        <v>0.683</v>
      </c>
      <c r="AA173" s="40">
        <v>0.634</v>
      </c>
      <c r="AB173">
        <v>0</v>
      </c>
      <c r="AC173">
        <v>0.0405</v>
      </c>
      <c r="AD173" s="7">
        <v>9</v>
      </c>
      <c r="AI173" s="27" t="s">
        <v>110</v>
      </c>
      <c r="AJ173" s="113" t="s">
        <v>63</v>
      </c>
      <c r="AK173" s="38" t="s">
        <v>45</v>
      </c>
    </row>
    <row r="174" spans="1:37">
      <c r="A174" s="41" t="s">
        <v>1061</v>
      </c>
      <c r="B174" s="42" t="s">
        <v>1062</v>
      </c>
      <c r="C174" s="43" t="s">
        <v>1063</v>
      </c>
      <c r="D174" s="27" t="s">
        <v>33</v>
      </c>
      <c r="F174" s="122" t="s">
        <v>1064</v>
      </c>
      <c r="G174" t="s">
        <v>1065</v>
      </c>
      <c r="H174" s="27" t="s">
        <v>37</v>
      </c>
      <c r="I174" s="27">
        <v>872</v>
      </c>
      <c r="J174"/>
      <c r="K174"/>
      <c r="L174"/>
      <c r="M174">
        <v>0.259</v>
      </c>
      <c r="N174" s="27" t="s">
        <v>38</v>
      </c>
      <c r="P174" s="122" t="s">
        <v>1064</v>
      </c>
      <c r="Q174" s="27" t="s">
        <v>1066</v>
      </c>
      <c r="R174" s="27">
        <v>872</v>
      </c>
      <c r="S174" s="27">
        <v>125377</v>
      </c>
      <c r="U174" s="27" t="s">
        <v>1067</v>
      </c>
      <c r="V174" t="s">
        <v>1065</v>
      </c>
      <c r="W174"/>
      <c r="X174" s="27" t="s">
        <v>37</v>
      </c>
      <c r="Y174" s="27" t="s">
        <v>216</v>
      </c>
      <c r="Z174">
        <v>0.374</v>
      </c>
      <c r="AA174">
        <v>0.77</v>
      </c>
      <c r="AB174">
        <v>90.6</v>
      </c>
      <c r="AC174">
        <v>0.259</v>
      </c>
      <c r="AD174" t="s">
        <v>42</v>
      </c>
      <c r="AE174" s="7">
        <v>2</v>
      </c>
      <c r="AF174" s="7">
        <v>23</v>
      </c>
      <c r="AG174" s="7">
        <v>5</v>
      </c>
      <c r="AH174" s="7">
        <v>63</v>
      </c>
      <c r="AI174" s="27" t="s">
        <v>62</v>
      </c>
      <c r="AJ174" s="113" t="s">
        <v>44</v>
      </c>
      <c r="AK174" s="38" t="s">
        <v>45</v>
      </c>
    </row>
    <row r="175" spans="1:37">
      <c r="B175" s="29" t="s">
        <v>1068</v>
      </c>
      <c r="AD175" s="27"/>
      <c r="AE175" s="27"/>
      <c r="AF175" s="27"/>
      <c r="AG175" s="27"/>
      <c r="AH175" s="27"/>
      <c r="AK175" s="38"/>
    </row>
    <row r="176" spans="1:37">
      <c r="A176" s="33" t="s">
        <v>1069</v>
      </c>
      <c r="B176" s="42" t="s">
        <v>1070</v>
      </c>
      <c r="C176" s="27" t="s">
        <v>1071</v>
      </c>
      <c r="D176" s="27" t="s">
        <v>438</v>
      </c>
      <c r="E176" s="27" t="s">
        <v>67</v>
      </c>
      <c r="F176" s="27" t="s">
        <v>135</v>
      </c>
      <c r="G176" t="s">
        <v>1072</v>
      </c>
      <c r="H176" s="27" t="s">
        <v>79</v>
      </c>
      <c r="I176" s="27">
        <v>7116</v>
      </c>
      <c r="J176"/>
      <c r="K176"/>
      <c r="L176"/>
      <c r="M176">
        <v>0.0325</v>
      </c>
      <c r="N176" s="27" t="s">
        <v>442</v>
      </c>
      <c r="O176" s="27" t="s">
        <v>67</v>
      </c>
      <c r="P176" s="27" t="s">
        <v>135</v>
      </c>
      <c r="Q176" s="27" t="s">
        <v>1073</v>
      </c>
      <c r="R176" s="27">
        <v>7116</v>
      </c>
      <c r="S176" s="27">
        <v>154406</v>
      </c>
      <c r="U176" s="27" t="s">
        <v>782</v>
      </c>
      <c r="V176" t="s">
        <v>1072</v>
      </c>
      <c r="W176"/>
      <c r="X176" s="27" t="s">
        <v>79</v>
      </c>
      <c r="Y176" s="27" t="s">
        <v>41</v>
      </c>
      <c r="Z176">
        <v>0.0985</v>
      </c>
      <c r="AA176" s="36">
        <v>0.832</v>
      </c>
      <c r="AB176">
        <v>53.2</v>
      </c>
      <c r="AC176">
        <v>0.0325</v>
      </c>
      <c r="AD176">
        <v>27</v>
      </c>
      <c r="AE176" t="s">
        <v>42</v>
      </c>
      <c r="AF176" t="s">
        <v>42</v>
      </c>
      <c r="AG176" t="s">
        <v>42</v>
      </c>
      <c r="AH176" t="s">
        <v>42</v>
      </c>
      <c r="AI176" s="27" t="s">
        <v>110</v>
      </c>
      <c r="AJ176" s="113" t="s">
        <v>63</v>
      </c>
      <c r="AK176" s="49" t="s">
        <v>45</v>
      </c>
    </row>
    <row r="177" spans="1:37">
      <c r="A177" s="41" t="s">
        <v>1074</v>
      </c>
      <c r="B177" s="42" t="s">
        <v>1075</v>
      </c>
      <c r="C177" s="43" t="s">
        <v>1076</v>
      </c>
      <c r="D177" s="27" t="s">
        <v>33</v>
      </c>
      <c r="F177" s="123" t="s">
        <v>1077</v>
      </c>
      <c r="G177" t="s">
        <v>1078</v>
      </c>
      <c r="H177" s="27" t="s">
        <v>79</v>
      </c>
      <c r="I177" s="27" t="s">
        <v>1079</v>
      </c>
      <c r="J177"/>
      <c r="K177"/>
      <c r="L177"/>
      <c r="M177">
        <v>0.00499</v>
      </c>
      <c r="N177" s="27" t="s">
        <v>38</v>
      </c>
      <c r="P177" s="123" t="s">
        <v>1077</v>
      </c>
      <c r="Q177" s="27" t="s">
        <v>1080</v>
      </c>
      <c r="R177" s="27" t="s">
        <v>1079</v>
      </c>
      <c r="S177" s="27">
        <v>2185564</v>
      </c>
      <c r="U177" s="27" t="s">
        <v>1081</v>
      </c>
      <c r="V177" t="s">
        <v>1078</v>
      </c>
      <c r="W177"/>
      <c r="X177" s="27" t="s">
        <v>79</v>
      </c>
      <c r="Y177" s="27" t="s">
        <v>216</v>
      </c>
      <c r="Z177">
        <v>0.145</v>
      </c>
      <c r="AA177">
        <v>0.0813</v>
      </c>
      <c r="AB177">
        <v>84.4</v>
      </c>
      <c r="AC177">
        <v>0.00499</v>
      </c>
      <c r="AD177">
        <v>485</v>
      </c>
      <c r="AE177" t="s">
        <v>42</v>
      </c>
      <c r="AF177" t="s">
        <v>42</v>
      </c>
      <c r="AG177" t="s">
        <v>42</v>
      </c>
      <c r="AH177" t="s">
        <v>42</v>
      </c>
      <c r="AI177" s="27" t="s">
        <v>146</v>
      </c>
      <c r="AJ177" s="113" t="s">
        <v>63</v>
      </c>
      <c r="AK177" s="38" t="s">
        <v>45</v>
      </c>
    </row>
    <row r="178" spans="1:37">
      <c r="A178" s="41" t="s">
        <v>1082</v>
      </c>
      <c r="B178" s="42" t="s">
        <v>1075</v>
      </c>
      <c r="C178" s="43" t="s">
        <v>1076</v>
      </c>
      <c r="D178" s="34" t="s">
        <v>568</v>
      </c>
      <c r="F178" s="124" t="s">
        <v>465</v>
      </c>
      <c r="G178" t="s">
        <v>1083</v>
      </c>
      <c r="H178" s="27" t="s">
        <v>79</v>
      </c>
      <c r="I178" s="27">
        <v>1656</v>
      </c>
      <c r="J178"/>
      <c r="K178"/>
      <c r="L178"/>
      <c r="M178">
        <v>0.398</v>
      </c>
      <c r="N178" s="34" t="s">
        <v>571</v>
      </c>
      <c r="P178" s="124" t="s">
        <v>465</v>
      </c>
      <c r="Q178" s="27" t="s">
        <v>1084</v>
      </c>
      <c r="R178" s="27">
        <v>1656</v>
      </c>
      <c r="S178" s="27">
        <v>198210</v>
      </c>
      <c r="U178" s="27" t="s">
        <v>1085</v>
      </c>
      <c r="V178" t="s">
        <v>1083</v>
      </c>
      <c r="W178"/>
      <c r="X178" s="27" t="s">
        <v>79</v>
      </c>
      <c r="Y178" s="27" t="s">
        <v>216</v>
      </c>
      <c r="Z178">
        <v>0.0171</v>
      </c>
      <c r="AA178">
        <v>0.557</v>
      </c>
      <c r="AB178">
        <v>41.5</v>
      </c>
      <c r="AC178">
        <v>0.398</v>
      </c>
      <c r="AD178" t="s">
        <v>42</v>
      </c>
      <c r="AE178">
        <v>46</v>
      </c>
      <c r="AF178">
        <v>14</v>
      </c>
      <c r="AG178">
        <v>102</v>
      </c>
      <c r="AH178">
        <v>19</v>
      </c>
      <c r="AI178" s="27" t="s">
        <v>146</v>
      </c>
      <c r="AJ178" s="113" t="s">
        <v>44</v>
      </c>
      <c r="AK178" s="38" t="s">
        <v>45</v>
      </c>
    </row>
    <row r="179" spans="1:37">
      <c r="A179" s="41" t="s">
        <v>1086</v>
      </c>
      <c r="B179" s="42" t="s">
        <v>1087</v>
      </c>
      <c r="C179" s="43" t="s">
        <v>1088</v>
      </c>
      <c r="D179" s="27" t="s">
        <v>438</v>
      </c>
      <c r="F179" s="27" t="s">
        <v>1089</v>
      </c>
      <c r="G179" t="s">
        <v>1090</v>
      </c>
      <c r="H179" s="27" t="s">
        <v>79</v>
      </c>
      <c r="I179" s="27">
        <v>11466</v>
      </c>
      <c r="J179"/>
      <c r="K179"/>
      <c r="L179"/>
      <c r="M179">
        <v>0.000152</v>
      </c>
      <c r="N179" s="27" t="s">
        <v>442</v>
      </c>
      <c r="P179" s="27" t="s">
        <v>1089</v>
      </c>
      <c r="Q179" s="27" t="s">
        <v>1091</v>
      </c>
      <c r="R179" s="27">
        <v>11466</v>
      </c>
      <c r="S179" s="27">
        <v>101684</v>
      </c>
      <c r="U179" s="27" t="s">
        <v>1092</v>
      </c>
      <c r="V179" t="s">
        <v>1090</v>
      </c>
      <c r="W179"/>
      <c r="X179" s="27" t="s">
        <v>79</v>
      </c>
      <c r="Y179" s="27" t="s">
        <v>216</v>
      </c>
      <c r="Z179">
        <v>0.000351</v>
      </c>
      <c r="AA179">
        <v>0.595</v>
      </c>
      <c r="AB179">
        <v>2.5</v>
      </c>
      <c r="AC179">
        <v>0.000152</v>
      </c>
      <c r="AD179">
        <v>139</v>
      </c>
      <c r="AE179" t="s">
        <v>42</v>
      </c>
      <c r="AF179" t="s">
        <v>42</v>
      </c>
      <c r="AG179" t="s">
        <v>42</v>
      </c>
      <c r="AH179" t="s">
        <v>42</v>
      </c>
      <c r="AI179" s="27" t="s">
        <v>146</v>
      </c>
      <c r="AJ179" s="113" t="s">
        <v>52</v>
      </c>
      <c r="AK179" s="38" t="s">
        <v>45</v>
      </c>
    </row>
    <row r="180" spans="1:37">
      <c r="A180" s="41" t="s">
        <v>1093</v>
      </c>
      <c r="B180" s="42" t="s">
        <v>1094</v>
      </c>
      <c r="C180" s="43" t="s">
        <v>1095</v>
      </c>
      <c r="D180" s="27" t="s">
        <v>438</v>
      </c>
      <c r="F180" s="124" t="s">
        <v>459</v>
      </c>
      <c r="G180" t="s">
        <v>1096</v>
      </c>
      <c r="H180" s="27" t="s">
        <v>37</v>
      </c>
      <c r="I180" s="27">
        <v>4565</v>
      </c>
      <c r="J180"/>
      <c r="K180"/>
      <c r="L180"/>
      <c r="M180" s="123" t="s">
        <v>1097</v>
      </c>
      <c r="N180" s="27" t="s">
        <v>1098</v>
      </c>
      <c r="P180" s="124" t="s">
        <v>459</v>
      </c>
      <c r="Q180" s="27" t="s">
        <v>1099</v>
      </c>
      <c r="R180" s="27">
        <v>4565</v>
      </c>
      <c r="S180" s="27">
        <v>30795</v>
      </c>
      <c r="U180" s="27" t="s">
        <v>1100</v>
      </c>
      <c r="V180" t="s">
        <v>1096</v>
      </c>
      <c r="W180"/>
      <c r="X180" s="27" t="s">
        <v>37</v>
      </c>
      <c r="Y180" s="27" t="s">
        <v>216</v>
      </c>
      <c r="Z180">
        <v>0.241</v>
      </c>
      <c r="AA180">
        <v>0.301</v>
      </c>
      <c r="AB180">
        <v>46.1</v>
      </c>
      <c r="AC180" s="123" t="s">
        <v>1097</v>
      </c>
      <c r="AD180">
        <v>195</v>
      </c>
      <c r="AE180" t="s">
        <v>42</v>
      </c>
      <c r="AF180" t="s">
        <v>42</v>
      </c>
      <c r="AG180" t="s">
        <v>42</v>
      </c>
      <c r="AH180" t="s">
        <v>42</v>
      </c>
      <c r="AI180" s="27" t="s">
        <v>62</v>
      </c>
      <c r="AJ180" s="113" t="s">
        <v>52</v>
      </c>
      <c r="AK180" s="38" t="s">
        <v>62</v>
      </c>
    </row>
    <row r="181" s="27" customFormat="1" customHeight="1" spans="1:37">
      <c r="A181" s="27" t="s">
        <v>1101</v>
      </c>
      <c r="B181" s="27" t="s">
        <v>1102</v>
      </c>
      <c r="C181" s="34" t="s">
        <v>1103</v>
      </c>
      <c r="D181" s="27" t="s">
        <v>33</v>
      </c>
      <c r="E181" s="27" t="s">
        <v>1104</v>
      </c>
      <c r="F181" s="27" t="s">
        <v>1105</v>
      </c>
      <c r="H181" s="27" t="s">
        <v>37</v>
      </c>
      <c r="I181" s="27" t="s">
        <v>107</v>
      </c>
      <c r="M181" s="27" t="s">
        <v>43</v>
      </c>
      <c r="N181" s="27" t="s">
        <v>38</v>
      </c>
      <c r="O181" s="27" t="s">
        <v>1104</v>
      </c>
      <c r="P181" s="27" t="s">
        <v>1105</v>
      </c>
      <c r="Q181" s="27" t="s">
        <v>1106</v>
      </c>
      <c r="R181" s="27" t="s">
        <v>107</v>
      </c>
      <c r="S181" s="59">
        <v>238340</v>
      </c>
      <c r="U181" s="27" t="s">
        <v>1107</v>
      </c>
      <c r="X181" s="27" t="s">
        <v>37</v>
      </c>
      <c r="Y181" s="27" t="s">
        <v>341</v>
      </c>
      <c r="Z181" s="27" t="s">
        <v>43</v>
      </c>
      <c r="AA181" s="27" t="s">
        <v>43</v>
      </c>
      <c r="AB181" s="27" t="s">
        <v>43</v>
      </c>
      <c r="AC181" s="27" t="s">
        <v>43</v>
      </c>
      <c r="AI181" s="27" t="s">
        <v>43</v>
      </c>
      <c r="AJ181" s="113" t="s">
        <v>63</v>
      </c>
      <c r="AK181" s="38"/>
    </row>
    <row r="182" spans="1:37">
      <c r="A182" s="33" t="s">
        <v>1108</v>
      </c>
      <c r="B182" s="27" t="s">
        <v>1109</v>
      </c>
      <c r="C182" s="43" t="s">
        <v>1110</v>
      </c>
      <c r="D182" s="27" t="s">
        <v>33</v>
      </c>
      <c r="E182" s="27" t="s">
        <v>67</v>
      </c>
      <c r="F182" s="118" t="s">
        <v>1111</v>
      </c>
      <c r="G182" t="s">
        <v>1112</v>
      </c>
      <c r="H182" s="27" t="s">
        <v>37</v>
      </c>
      <c r="I182" s="27" t="s">
        <v>107</v>
      </c>
      <c r="J182"/>
      <c r="K182"/>
      <c r="L182"/>
      <c r="M182" s="123" t="s">
        <v>1113</v>
      </c>
      <c r="N182" s="27" t="s">
        <v>38</v>
      </c>
      <c r="O182" s="27" t="s">
        <v>67</v>
      </c>
      <c r="P182" s="118" t="s">
        <v>1111</v>
      </c>
      <c r="Q182" s="27" t="s">
        <v>1114</v>
      </c>
      <c r="R182" s="27" t="s">
        <v>107</v>
      </c>
      <c r="S182" s="27">
        <v>701766</v>
      </c>
      <c r="U182" s="27" t="s">
        <v>1115</v>
      </c>
      <c r="V182" t="s">
        <v>1112</v>
      </c>
      <c r="W182"/>
      <c r="X182" s="27" t="s">
        <v>37</v>
      </c>
      <c r="Y182" s="27" t="s">
        <v>41</v>
      </c>
      <c r="Z182">
        <v>0.00573</v>
      </c>
      <c r="AA182" s="36">
        <v>0.0096</v>
      </c>
      <c r="AB182">
        <v>78.6</v>
      </c>
      <c r="AC182" s="123" t="s">
        <v>1113</v>
      </c>
      <c r="AD182">
        <v>8444</v>
      </c>
      <c r="AE182" t="s">
        <v>42</v>
      </c>
      <c r="AF182" t="s">
        <v>42</v>
      </c>
      <c r="AG182" t="s">
        <v>42</v>
      </c>
      <c r="AH182" t="s">
        <v>42</v>
      </c>
      <c r="AI182" s="27" t="s">
        <v>146</v>
      </c>
      <c r="AJ182" s="113" t="s">
        <v>111</v>
      </c>
      <c r="AK182" s="38" t="s">
        <v>45</v>
      </c>
    </row>
    <row r="183" spans="1:37">
      <c r="A183" s="33" t="s">
        <v>1116</v>
      </c>
      <c r="B183" s="27" t="s">
        <v>1109</v>
      </c>
      <c r="C183" s="34" t="s">
        <v>32</v>
      </c>
      <c r="D183" s="27" t="s">
        <v>33</v>
      </c>
      <c r="E183" s="27" t="s">
        <v>34</v>
      </c>
      <c r="F183" s="122" t="s">
        <v>155</v>
      </c>
      <c r="G183" t="s">
        <v>1117</v>
      </c>
      <c r="H183" s="27" t="s">
        <v>37</v>
      </c>
      <c r="I183" s="27">
        <v>11241</v>
      </c>
      <c r="J183"/>
      <c r="K183"/>
      <c r="L183"/>
      <c r="M183">
        <v>0.0223</v>
      </c>
      <c r="N183" s="27" t="s">
        <v>38</v>
      </c>
      <c r="O183" s="27" t="s">
        <v>34</v>
      </c>
      <c r="P183" s="122" t="s">
        <v>155</v>
      </c>
      <c r="Q183" s="27" t="s">
        <v>1118</v>
      </c>
      <c r="R183" s="27">
        <v>11241</v>
      </c>
      <c r="S183" s="27">
        <v>59299</v>
      </c>
      <c r="U183" s="27" t="s">
        <v>1119</v>
      </c>
      <c r="V183" t="s">
        <v>1117</v>
      </c>
      <c r="W183"/>
      <c r="X183" s="27" t="s">
        <v>37</v>
      </c>
      <c r="Y183" s="27" t="s">
        <v>41</v>
      </c>
      <c r="Z183">
        <v>0.0621</v>
      </c>
      <c r="AA183" s="36">
        <v>0.725</v>
      </c>
      <c r="AB183">
        <v>0</v>
      </c>
      <c r="AC183">
        <v>0.0223</v>
      </c>
      <c r="AD183">
        <v>12</v>
      </c>
      <c r="AE183" t="s">
        <v>42</v>
      </c>
      <c r="AF183" t="s">
        <v>42</v>
      </c>
      <c r="AG183" t="s">
        <v>42</v>
      </c>
      <c r="AH183" t="s">
        <v>42</v>
      </c>
      <c r="AI183" s="27" t="s">
        <v>43</v>
      </c>
      <c r="AJ183" s="113" t="s">
        <v>63</v>
      </c>
      <c r="AK183" s="38" t="s">
        <v>45</v>
      </c>
    </row>
    <row r="184" spans="1:37">
      <c r="A184" s="33" t="s">
        <v>1120</v>
      </c>
      <c r="B184" s="27" t="s">
        <v>1109</v>
      </c>
      <c r="C184" s="34" t="s">
        <v>32</v>
      </c>
      <c r="D184" s="27" t="s">
        <v>33</v>
      </c>
      <c r="E184" s="27" t="s">
        <v>47</v>
      </c>
      <c r="F184" s="122" t="s">
        <v>1121</v>
      </c>
      <c r="G184" t="s">
        <v>1122</v>
      </c>
      <c r="H184" s="27" t="s">
        <v>37</v>
      </c>
      <c r="I184" s="27">
        <v>3486</v>
      </c>
      <c r="J184" s="119">
        <v>1.104</v>
      </c>
      <c r="K184" s="119">
        <v>1.845</v>
      </c>
      <c r="L184" s="119" t="b">
        <v>0</v>
      </c>
      <c r="M184" s="123" t="s">
        <v>1123</v>
      </c>
      <c r="N184" s="27" t="s">
        <v>38</v>
      </c>
      <c r="O184" s="27" t="s">
        <v>47</v>
      </c>
      <c r="P184" s="122" t="s">
        <v>1121</v>
      </c>
      <c r="Q184" s="27" t="s">
        <v>1124</v>
      </c>
      <c r="R184" s="27">
        <v>3486</v>
      </c>
      <c r="S184" s="27">
        <v>13083</v>
      </c>
      <c r="U184" s="27" t="s">
        <v>1125</v>
      </c>
      <c r="V184" t="s">
        <v>1122</v>
      </c>
      <c r="W184"/>
      <c r="X184" s="27" t="s">
        <v>37</v>
      </c>
      <c r="Y184" s="27" t="s">
        <v>41</v>
      </c>
      <c r="Z184">
        <v>0.621</v>
      </c>
      <c r="AA184" s="36">
        <v>0.139</v>
      </c>
      <c r="AB184">
        <v>46.6</v>
      </c>
      <c r="AC184" s="123" t="s">
        <v>1123</v>
      </c>
      <c r="AD184">
        <v>656</v>
      </c>
      <c r="AE184" t="s">
        <v>42</v>
      </c>
      <c r="AF184" t="s">
        <v>42</v>
      </c>
      <c r="AG184" t="s">
        <v>42</v>
      </c>
      <c r="AH184" t="s">
        <v>42</v>
      </c>
      <c r="AI184" s="27" t="s">
        <v>43</v>
      </c>
      <c r="AJ184" s="113" t="s">
        <v>145</v>
      </c>
      <c r="AK184" s="38" t="s">
        <v>45</v>
      </c>
    </row>
    <row r="185" s="27" customFormat="1" spans="1:37">
      <c r="A185" s="27" t="s">
        <v>1126</v>
      </c>
      <c r="B185" s="27" t="s">
        <v>1127</v>
      </c>
      <c r="C185" s="34" t="s">
        <v>1128</v>
      </c>
      <c r="D185" s="27" t="s">
        <v>33</v>
      </c>
      <c r="E185" s="27" t="s">
        <v>1129</v>
      </c>
      <c r="F185" s="27" t="s">
        <v>1130</v>
      </c>
      <c r="H185" s="27" t="s">
        <v>1131</v>
      </c>
      <c r="I185" s="27" t="s">
        <v>107</v>
      </c>
      <c r="M185" s="27" t="s">
        <v>43</v>
      </c>
      <c r="N185" s="27" t="s">
        <v>38</v>
      </c>
      <c r="O185" s="27" t="s">
        <v>1129</v>
      </c>
      <c r="P185" s="27" t="s">
        <v>1130</v>
      </c>
      <c r="Q185" s="27" t="s">
        <v>1132</v>
      </c>
      <c r="R185" s="27" t="s">
        <v>107</v>
      </c>
      <c r="S185" s="27">
        <v>45299</v>
      </c>
      <c r="U185" s="27" t="s">
        <v>1133</v>
      </c>
      <c r="X185" s="27" t="s">
        <v>1131</v>
      </c>
      <c r="Y185" s="27" t="s">
        <v>341</v>
      </c>
      <c r="Z185" s="27" t="s">
        <v>43</v>
      </c>
      <c r="AA185" s="27" t="s">
        <v>43</v>
      </c>
      <c r="AB185" s="27" t="s">
        <v>43</v>
      </c>
      <c r="AC185" s="27" t="s">
        <v>43</v>
      </c>
      <c r="AI185" s="27" t="s">
        <v>43</v>
      </c>
      <c r="AJ185" s="113" t="s">
        <v>63</v>
      </c>
      <c r="AK185" s="38"/>
    </row>
    <row r="186" spans="1:37">
      <c r="A186" s="41" t="s">
        <v>1134</v>
      </c>
      <c r="B186" s="42" t="s">
        <v>1135</v>
      </c>
      <c r="C186" s="27" t="s">
        <v>1110</v>
      </c>
      <c r="D186" s="27" t="s">
        <v>33</v>
      </c>
      <c r="F186" s="27" t="s">
        <v>1136</v>
      </c>
      <c r="G186" t="s">
        <v>1137</v>
      </c>
      <c r="H186" s="27" t="s">
        <v>1138</v>
      </c>
      <c r="I186" s="27" t="s">
        <v>107</v>
      </c>
      <c r="J186"/>
      <c r="K186"/>
      <c r="L186"/>
      <c r="M186" s="123" t="s">
        <v>1139</v>
      </c>
      <c r="N186" s="27" t="s">
        <v>38</v>
      </c>
      <c r="P186" s="27" t="s">
        <v>1136</v>
      </c>
      <c r="Q186" s="27" t="s">
        <v>1140</v>
      </c>
      <c r="R186" s="27" t="s">
        <v>107</v>
      </c>
      <c r="S186" s="27">
        <v>238034</v>
      </c>
      <c r="U186" s="27" t="s">
        <v>1141</v>
      </c>
      <c r="V186" t="s">
        <v>1137</v>
      </c>
      <c r="W186"/>
      <c r="X186" s="27" t="s">
        <v>1138</v>
      </c>
      <c r="Y186" s="27" t="s">
        <v>216</v>
      </c>
      <c r="Z186">
        <v>0.0398</v>
      </c>
      <c r="AA186">
        <v>0.0308</v>
      </c>
      <c r="AB186">
        <v>89.3</v>
      </c>
      <c r="AC186" s="123" t="s">
        <v>1139</v>
      </c>
      <c r="AD186" s="48">
        <v>3887</v>
      </c>
      <c r="AE186" t="s">
        <v>42</v>
      </c>
      <c r="AF186" t="s">
        <v>42</v>
      </c>
      <c r="AG186" t="s">
        <v>42</v>
      </c>
      <c r="AH186" t="s">
        <v>42</v>
      </c>
      <c r="AI186" s="27" t="s">
        <v>146</v>
      </c>
      <c r="AJ186" s="113" t="s">
        <v>111</v>
      </c>
      <c r="AK186" s="38" t="s">
        <v>45</v>
      </c>
    </row>
    <row r="187" spans="1:37">
      <c r="B187" s="29" t="s">
        <v>1142</v>
      </c>
      <c r="AK187" s="106"/>
    </row>
    <row r="188" s="48" customFormat="1" spans="1:37">
      <c r="A188" s="34" t="s">
        <v>1143</v>
      </c>
      <c r="B188" s="45" t="s">
        <v>1144</v>
      </c>
      <c r="C188" s="34" t="s">
        <v>1145</v>
      </c>
      <c r="D188" s="34" t="s">
        <v>438</v>
      </c>
      <c r="E188" s="34"/>
      <c r="F188" s="127" t="s">
        <v>923</v>
      </c>
      <c r="H188" s="34" t="s">
        <v>37</v>
      </c>
      <c r="I188" s="34">
        <v>2024</v>
      </c>
      <c r="M188" s="48">
        <v>0.101</v>
      </c>
      <c r="N188" s="34" t="s">
        <v>442</v>
      </c>
      <c r="O188" s="34"/>
      <c r="P188" s="127" t="s">
        <v>923</v>
      </c>
      <c r="Q188" s="34" t="s">
        <v>1146</v>
      </c>
      <c r="R188" s="34">
        <v>2024</v>
      </c>
      <c r="S188" s="47">
        <v>10199</v>
      </c>
      <c r="T188" s="47"/>
      <c r="U188" s="47" t="s">
        <v>1147</v>
      </c>
      <c r="W188" s="48">
        <v>1</v>
      </c>
      <c r="X188" s="34" t="s">
        <v>37</v>
      </c>
      <c r="Y188" s="34" t="s">
        <v>216</v>
      </c>
      <c r="Z188" s="48">
        <v>0.0403</v>
      </c>
      <c r="AA188" s="48">
        <v>0.156</v>
      </c>
      <c r="AB188" s="48">
        <v>54.1</v>
      </c>
      <c r="AC188" s="48">
        <v>0.101</v>
      </c>
      <c r="AD188" s="48" t="s">
        <v>42</v>
      </c>
      <c r="AE188" s="48">
        <v>0</v>
      </c>
      <c r="AF188" s="48" t="s">
        <v>159</v>
      </c>
      <c r="AG188" s="48">
        <v>1</v>
      </c>
      <c r="AH188" s="48">
        <v>1</v>
      </c>
      <c r="AI188" s="34" t="s">
        <v>83</v>
      </c>
      <c r="AJ188" s="113" t="s">
        <v>44</v>
      </c>
      <c r="AK188" s="49" t="s">
        <v>45</v>
      </c>
    </row>
    <row r="189" s="48" customFormat="1" spans="1:37">
      <c r="A189" s="34" t="s">
        <v>1148</v>
      </c>
      <c r="B189" s="45" t="s">
        <v>1149</v>
      </c>
      <c r="C189" s="34" t="s">
        <v>1150</v>
      </c>
      <c r="D189" s="34" t="s">
        <v>548</v>
      </c>
      <c r="E189" s="34"/>
      <c r="F189" s="127" t="s">
        <v>501</v>
      </c>
      <c r="H189" s="34" t="s">
        <v>37</v>
      </c>
      <c r="I189" s="34">
        <v>392</v>
      </c>
      <c r="M189" s="48">
        <v>0.0728</v>
      </c>
      <c r="N189" s="34" t="s">
        <v>552</v>
      </c>
      <c r="O189" s="34"/>
      <c r="P189" s="127" t="s">
        <v>501</v>
      </c>
      <c r="Q189" s="34" t="s">
        <v>1151</v>
      </c>
      <c r="R189" s="34">
        <v>392</v>
      </c>
      <c r="S189" s="47">
        <v>849</v>
      </c>
      <c r="T189" s="47"/>
      <c r="U189" s="47" t="s">
        <v>1152</v>
      </c>
      <c r="W189" s="48">
        <v>1</v>
      </c>
      <c r="X189" s="34" t="s">
        <v>37</v>
      </c>
      <c r="Y189" s="34" t="s">
        <v>216</v>
      </c>
      <c r="Z189" s="48">
        <v>0.109</v>
      </c>
      <c r="AA189" s="48">
        <v>0.372</v>
      </c>
      <c r="AB189" s="48">
        <v>15.8</v>
      </c>
      <c r="AC189" s="48">
        <v>0.0728</v>
      </c>
      <c r="AD189" s="48" t="s">
        <v>42</v>
      </c>
      <c r="AE189" s="48">
        <v>0</v>
      </c>
      <c r="AF189" s="48" t="s">
        <v>159</v>
      </c>
      <c r="AG189" s="48">
        <v>1</v>
      </c>
      <c r="AH189" s="48">
        <v>1</v>
      </c>
      <c r="AI189" s="34" t="s">
        <v>146</v>
      </c>
      <c r="AJ189" s="113" t="s">
        <v>44</v>
      </c>
      <c r="AK189" s="49" t="s">
        <v>45</v>
      </c>
    </row>
    <row r="190" spans="1:37">
      <c r="A190" s="41" t="s">
        <v>1153</v>
      </c>
      <c r="B190" s="42" t="s">
        <v>1154</v>
      </c>
      <c r="C190" s="27" t="s">
        <v>1150</v>
      </c>
      <c r="D190" s="27" t="s">
        <v>438</v>
      </c>
      <c r="F190" s="122" t="s">
        <v>1064</v>
      </c>
      <c r="G190" t="s">
        <v>1155</v>
      </c>
      <c r="H190" s="27" t="s">
        <v>37</v>
      </c>
      <c r="I190" s="27">
        <v>1253</v>
      </c>
      <c r="J190"/>
      <c r="K190"/>
      <c r="L190"/>
      <c r="M190">
        <v>0.0405</v>
      </c>
      <c r="N190" s="27" t="s">
        <v>442</v>
      </c>
      <c r="P190" s="122" t="s">
        <v>1064</v>
      </c>
      <c r="Q190" s="27" t="s">
        <v>1156</v>
      </c>
      <c r="R190" s="27">
        <v>1253</v>
      </c>
      <c r="S190" s="27">
        <v>1325</v>
      </c>
      <c r="U190" s="27" t="s">
        <v>1157</v>
      </c>
      <c r="V190" t="s">
        <v>1155</v>
      </c>
      <c r="W190"/>
      <c r="X190" s="27" t="s">
        <v>37</v>
      </c>
      <c r="Y190" s="27" t="s">
        <v>216</v>
      </c>
      <c r="Z190">
        <v>0.0253</v>
      </c>
      <c r="AA190">
        <v>0.592</v>
      </c>
      <c r="AB190">
        <v>0</v>
      </c>
      <c r="AC190">
        <v>0.0405</v>
      </c>
      <c r="AD190">
        <v>8</v>
      </c>
      <c r="AE190" t="s">
        <v>42</v>
      </c>
      <c r="AF190" t="s">
        <v>42</v>
      </c>
      <c r="AG190" t="s">
        <v>42</v>
      </c>
      <c r="AH190" t="s">
        <v>42</v>
      </c>
      <c r="AI190" s="27" t="s">
        <v>146</v>
      </c>
      <c r="AJ190" s="113" t="s">
        <v>63</v>
      </c>
      <c r="AK190" s="38" t="s">
        <v>45</v>
      </c>
    </row>
    <row r="191" s="27" customFormat="1" spans="1:37">
      <c r="A191" s="27" t="s">
        <v>1158</v>
      </c>
      <c r="B191" s="27" t="s">
        <v>1154</v>
      </c>
      <c r="C191" s="27" t="s">
        <v>1159</v>
      </c>
      <c r="D191" s="27" t="s">
        <v>500</v>
      </c>
      <c r="F191" s="27" t="s">
        <v>1160</v>
      </c>
      <c r="G191" s="40" t="s">
        <v>1161</v>
      </c>
      <c r="H191" s="27" t="s">
        <v>37</v>
      </c>
      <c r="I191" s="27" t="s">
        <v>1162</v>
      </c>
      <c r="J191" s="40"/>
      <c r="K191" s="40"/>
      <c r="L191" s="40"/>
      <c r="M191" s="40">
        <v>0.412</v>
      </c>
      <c r="N191" s="27" t="s">
        <v>504</v>
      </c>
      <c r="P191" s="27" t="s">
        <v>1160</v>
      </c>
      <c r="Q191" s="27" t="s">
        <v>1163</v>
      </c>
      <c r="R191" s="27" t="s">
        <v>1162</v>
      </c>
      <c r="S191" s="27">
        <v>10425</v>
      </c>
      <c r="U191" s="27" t="s">
        <v>1164</v>
      </c>
      <c r="V191" s="40" t="s">
        <v>1161</v>
      </c>
      <c r="W191" s="40"/>
      <c r="X191" s="27" t="s">
        <v>37</v>
      </c>
      <c r="Y191" s="27" t="s">
        <v>341</v>
      </c>
      <c r="Z191" s="40">
        <v>0.331</v>
      </c>
      <c r="AA191" s="40">
        <v>0.603</v>
      </c>
      <c r="AB191" s="40">
        <v>34.2</v>
      </c>
      <c r="AC191" s="40">
        <v>0.412</v>
      </c>
      <c r="AE191" s="40">
        <v>82</v>
      </c>
      <c r="AF191" s="40">
        <v>167</v>
      </c>
      <c r="AG191" s="40">
        <v>181</v>
      </c>
      <c r="AH191" s="40">
        <v>373</v>
      </c>
      <c r="AI191" s="27" t="s">
        <v>62</v>
      </c>
      <c r="AJ191" s="113" t="s">
        <v>44</v>
      </c>
      <c r="AK191" s="38" t="s">
        <v>45</v>
      </c>
    </row>
    <row r="192" s="48" customFormat="1" spans="1:37">
      <c r="A192" s="34" t="s">
        <v>1165</v>
      </c>
      <c r="B192" s="45" t="s">
        <v>1166</v>
      </c>
      <c r="C192" s="52" t="s">
        <v>1167</v>
      </c>
      <c r="D192" s="34" t="s">
        <v>438</v>
      </c>
      <c r="E192" s="34" t="s">
        <v>67</v>
      </c>
      <c r="F192" s="126" t="s">
        <v>97</v>
      </c>
      <c r="H192" s="34" t="s">
        <v>79</v>
      </c>
      <c r="I192" s="34" t="s">
        <v>1168</v>
      </c>
      <c r="M192" s="48">
        <v>0.0759</v>
      </c>
      <c r="N192" s="34" t="s">
        <v>442</v>
      </c>
      <c r="O192" s="34" t="s">
        <v>67</v>
      </c>
      <c r="P192" s="126" t="s">
        <v>97</v>
      </c>
      <c r="Q192" s="34" t="s">
        <v>1169</v>
      </c>
      <c r="R192" s="34" t="s">
        <v>1168</v>
      </c>
      <c r="S192" s="47">
        <v>357832</v>
      </c>
      <c r="T192" s="47"/>
      <c r="U192" s="47" t="s">
        <v>1170</v>
      </c>
      <c r="W192" s="48">
        <v>1</v>
      </c>
      <c r="X192" s="34" t="s">
        <v>79</v>
      </c>
      <c r="Y192" s="34" t="s">
        <v>41</v>
      </c>
      <c r="Z192" s="48">
        <v>0.669</v>
      </c>
      <c r="AA192" s="54">
        <v>0.551</v>
      </c>
      <c r="AB192" s="48">
        <v>37.7</v>
      </c>
      <c r="AC192" s="48">
        <v>0.0759</v>
      </c>
      <c r="AD192" s="48" t="s">
        <v>42</v>
      </c>
      <c r="AE192" s="7">
        <v>0</v>
      </c>
      <c r="AF192" s="7" t="s">
        <v>159</v>
      </c>
      <c r="AG192" s="7">
        <v>1</v>
      </c>
      <c r="AH192" s="7">
        <v>7</v>
      </c>
      <c r="AI192" s="34" t="s">
        <v>83</v>
      </c>
      <c r="AJ192" s="113" t="s">
        <v>44</v>
      </c>
      <c r="AK192" s="49" t="s">
        <v>45</v>
      </c>
    </row>
    <row r="193" spans="1:37">
      <c r="A193" s="41" t="s">
        <v>1171</v>
      </c>
      <c r="B193" s="42" t="s">
        <v>1172</v>
      </c>
      <c r="C193" s="27" t="s">
        <v>1173</v>
      </c>
      <c r="D193" s="27" t="s">
        <v>33</v>
      </c>
      <c r="F193" s="122" t="s">
        <v>501</v>
      </c>
      <c r="G193" s="40" t="s">
        <v>1174</v>
      </c>
      <c r="H193" s="27" t="s">
        <v>37</v>
      </c>
      <c r="I193" s="27">
        <v>755</v>
      </c>
      <c r="J193" s="40"/>
      <c r="K193" s="40"/>
      <c r="L193" s="40"/>
      <c r="M193" s="40">
        <v>0.966</v>
      </c>
      <c r="N193" s="27" t="s">
        <v>38</v>
      </c>
      <c r="P193" s="122" t="s">
        <v>501</v>
      </c>
      <c r="Q193" s="27" t="s">
        <v>1175</v>
      </c>
      <c r="R193" s="27">
        <v>755</v>
      </c>
      <c r="S193" s="27">
        <v>5617</v>
      </c>
      <c r="U193" s="27" t="s">
        <v>1176</v>
      </c>
      <c r="V193" s="40" t="s">
        <v>1174</v>
      </c>
      <c r="W193" s="40"/>
      <c r="X193" s="27" t="s">
        <v>37</v>
      </c>
      <c r="Y193" s="27" t="s">
        <v>216</v>
      </c>
      <c r="Z193" s="40">
        <v>0.881</v>
      </c>
      <c r="AA193" s="40">
        <v>0.557</v>
      </c>
      <c r="AB193" s="40">
        <v>18.4</v>
      </c>
      <c r="AC193" s="40">
        <v>0.966</v>
      </c>
      <c r="AD193" t="s">
        <v>42</v>
      </c>
      <c r="AE193" s="40">
        <v>16686</v>
      </c>
      <c r="AF193" s="40">
        <v>84</v>
      </c>
      <c r="AG193" s="40" t="s">
        <v>159</v>
      </c>
      <c r="AH193" s="40">
        <v>158</v>
      </c>
      <c r="AI193" s="27" t="s">
        <v>146</v>
      </c>
      <c r="AJ193" s="113" t="s">
        <v>44</v>
      </c>
      <c r="AK193" s="38" t="s">
        <v>45</v>
      </c>
    </row>
    <row r="194" spans="1:37">
      <c r="A194" s="41" t="s">
        <v>1177</v>
      </c>
      <c r="B194" s="42" t="s">
        <v>1178</v>
      </c>
      <c r="C194" s="43" t="s">
        <v>1179</v>
      </c>
      <c r="D194" s="28" t="s">
        <v>562</v>
      </c>
      <c r="F194" s="124" t="s">
        <v>1180</v>
      </c>
      <c r="G194" t="s">
        <v>1181</v>
      </c>
      <c r="H194" s="27" t="s">
        <v>37</v>
      </c>
      <c r="I194" s="27" t="s">
        <v>107</v>
      </c>
      <c r="J194"/>
      <c r="K194"/>
      <c r="L194"/>
      <c r="M194" s="123" t="s">
        <v>1182</v>
      </c>
      <c r="N194" s="27" t="s">
        <v>565</v>
      </c>
      <c r="P194" s="124" t="s">
        <v>1180</v>
      </c>
      <c r="Q194" s="27" t="s">
        <v>1183</v>
      </c>
      <c r="R194" s="27" t="s">
        <v>107</v>
      </c>
      <c r="S194" s="27">
        <v>130200</v>
      </c>
      <c r="U194" s="27" t="s">
        <v>1184</v>
      </c>
      <c r="V194" t="s">
        <v>1181</v>
      </c>
      <c r="W194"/>
      <c r="X194" s="27" t="s">
        <v>37</v>
      </c>
      <c r="Y194" s="27" t="s">
        <v>216</v>
      </c>
      <c r="Z194">
        <v>0.412</v>
      </c>
      <c r="AA194">
        <v>0.201</v>
      </c>
      <c r="AB194">
        <v>76.4</v>
      </c>
      <c r="AC194" s="123" t="s">
        <v>1182</v>
      </c>
      <c r="AD194" s="7">
        <v>1837</v>
      </c>
      <c r="AE194" t="s">
        <v>42</v>
      </c>
      <c r="AF194" t="s">
        <v>42</v>
      </c>
      <c r="AG194" t="s">
        <v>42</v>
      </c>
      <c r="AH194" t="s">
        <v>42</v>
      </c>
      <c r="AI194" s="27" t="s">
        <v>110</v>
      </c>
      <c r="AJ194" s="113" t="s">
        <v>111</v>
      </c>
      <c r="AK194" s="38" t="s">
        <v>45</v>
      </c>
    </row>
    <row r="195" spans="1:37">
      <c r="A195" s="41" t="s">
        <v>1185</v>
      </c>
      <c r="B195" s="42" t="s">
        <v>1186</v>
      </c>
      <c r="C195" s="27" t="s">
        <v>1187</v>
      </c>
      <c r="D195" s="28" t="s">
        <v>562</v>
      </c>
      <c r="F195" s="122" t="s">
        <v>304</v>
      </c>
      <c r="G195" t="s">
        <v>1188</v>
      </c>
      <c r="H195" s="27" t="s">
        <v>79</v>
      </c>
      <c r="I195" s="27">
        <v>344</v>
      </c>
      <c r="J195"/>
      <c r="K195"/>
      <c r="L195"/>
      <c r="M195">
        <v>0.378</v>
      </c>
      <c r="N195" s="27" t="s">
        <v>565</v>
      </c>
      <c r="P195" s="122" t="s">
        <v>304</v>
      </c>
      <c r="Q195" s="27" t="s">
        <v>1189</v>
      </c>
      <c r="R195" s="27">
        <v>344</v>
      </c>
      <c r="S195" s="27">
        <v>1015</v>
      </c>
      <c r="U195" s="27" t="s">
        <v>1190</v>
      </c>
      <c r="V195" t="s">
        <v>1188</v>
      </c>
      <c r="W195"/>
      <c r="X195" s="27" t="s">
        <v>79</v>
      </c>
      <c r="Y195" s="27" t="s">
        <v>341</v>
      </c>
      <c r="Z195">
        <v>0.804</v>
      </c>
      <c r="AA195">
        <v>0.857</v>
      </c>
      <c r="AB195">
        <v>80.5</v>
      </c>
      <c r="AC195">
        <v>0.378</v>
      </c>
      <c r="AE195" s="7">
        <v>8</v>
      </c>
      <c r="AF195" s="7">
        <v>88</v>
      </c>
      <c r="AG195" s="7">
        <v>19</v>
      </c>
      <c r="AH195" s="7">
        <v>162</v>
      </c>
      <c r="AI195" s="27" t="s">
        <v>110</v>
      </c>
      <c r="AJ195" s="113" t="s">
        <v>44</v>
      </c>
      <c r="AK195" s="38" t="s">
        <v>45</v>
      </c>
    </row>
    <row r="196" spans="1:37">
      <c r="A196" s="41" t="s">
        <v>1191</v>
      </c>
      <c r="B196" s="42" t="s">
        <v>1192</v>
      </c>
      <c r="C196" s="43" t="s">
        <v>1193</v>
      </c>
      <c r="D196" s="27" t="s">
        <v>33</v>
      </c>
      <c r="F196" s="124" t="s">
        <v>1194</v>
      </c>
      <c r="G196" t="s">
        <v>1195</v>
      </c>
      <c r="H196" s="27" t="s">
        <v>37</v>
      </c>
      <c r="I196" s="27" t="s">
        <v>107</v>
      </c>
      <c r="J196"/>
      <c r="K196"/>
      <c r="L196"/>
      <c r="M196" s="123" t="s">
        <v>1196</v>
      </c>
      <c r="N196" s="27" t="s">
        <v>38</v>
      </c>
      <c r="P196" s="124" t="s">
        <v>1194</v>
      </c>
      <c r="Q196" s="27" t="s">
        <v>1197</v>
      </c>
      <c r="R196" s="27" t="s">
        <v>107</v>
      </c>
      <c r="S196" s="59">
        <v>90405</v>
      </c>
      <c r="T196" s="59"/>
      <c r="U196" s="59" t="s">
        <v>1198</v>
      </c>
      <c r="V196" t="s">
        <v>1195</v>
      </c>
      <c r="W196"/>
      <c r="X196" s="27" t="s">
        <v>37</v>
      </c>
      <c r="Y196" s="27" t="s">
        <v>216</v>
      </c>
      <c r="Z196">
        <v>0.0846</v>
      </c>
      <c r="AA196">
        <v>0.896</v>
      </c>
      <c r="AB196">
        <v>59</v>
      </c>
      <c r="AC196" s="123" t="s">
        <v>1196</v>
      </c>
      <c r="AD196" s="7">
        <v>1055</v>
      </c>
      <c r="AE196" t="s">
        <v>42</v>
      </c>
      <c r="AF196" t="s">
        <v>42</v>
      </c>
      <c r="AG196" t="s">
        <v>42</v>
      </c>
      <c r="AH196" t="s">
        <v>42</v>
      </c>
      <c r="AI196" s="27" t="s">
        <v>62</v>
      </c>
      <c r="AJ196" s="113" t="s">
        <v>111</v>
      </c>
      <c r="AK196" s="38" t="s">
        <v>45</v>
      </c>
    </row>
    <row r="197" spans="1:37">
      <c r="A197" s="41" t="s">
        <v>1199</v>
      </c>
      <c r="B197" s="42" t="s">
        <v>1192</v>
      </c>
      <c r="C197" s="27" t="s">
        <v>1200</v>
      </c>
      <c r="D197" s="27" t="s">
        <v>520</v>
      </c>
      <c r="F197" s="122" t="s">
        <v>406</v>
      </c>
      <c r="G197" t="s">
        <v>1201</v>
      </c>
      <c r="H197" s="27" t="s">
        <v>37</v>
      </c>
      <c r="I197" s="27" t="s">
        <v>107</v>
      </c>
      <c r="J197"/>
      <c r="K197"/>
      <c r="L197"/>
      <c r="M197" s="123" t="s">
        <v>1202</v>
      </c>
      <c r="N197" s="27" t="s">
        <v>523</v>
      </c>
      <c r="P197" s="122" t="s">
        <v>406</v>
      </c>
      <c r="Q197" s="27" t="s">
        <v>1203</v>
      </c>
      <c r="R197" s="27" t="s">
        <v>107</v>
      </c>
      <c r="S197" s="27">
        <v>238680</v>
      </c>
      <c r="U197" s="27" t="s">
        <v>1204</v>
      </c>
      <c r="V197" t="s">
        <v>1201</v>
      </c>
      <c r="W197"/>
      <c r="X197" s="27" t="s">
        <v>37</v>
      </c>
      <c r="Y197" s="27" t="s">
        <v>216</v>
      </c>
      <c r="Z197">
        <v>0.17</v>
      </c>
      <c r="AA197">
        <v>0.109</v>
      </c>
      <c r="AB197">
        <v>85.8</v>
      </c>
      <c r="AC197" s="123" t="s">
        <v>1202</v>
      </c>
      <c r="AD197" s="7">
        <v>3434</v>
      </c>
      <c r="AE197" t="s">
        <v>42</v>
      </c>
      <c r="AF197" t="s">
        <v>42</v>
      </c>
      <c r="AG197" t="s">
        <v>42</v>
      </c>
      <c r="AH197" t="s">
        <v>42</v>
      </c>
      <c r="AI197" s="27" t="s">
        <v>83</v>
      </c>
      <c r="AJ197" s="113" t="s">
        <v>111</v>
      </c>
      <c r="AK197" s="38" t="s">
        <v>45</v>
      </c>
    </row>
    <row r="198" spans="1:37">
      <c r="A198" s="41" t="s">
        <v>1205</v>
      </c>
      <c r="B198" s="42" t="s">
        <v>1192</v>
      </c>
      <c r="C198" s="43" t="s">
        <v>1206</v>
      </c>
      <c r="D198" s="28" t="s">
        <v>562</v>
      </c>
      <c r="F198" s="123" t="s">
        <v>1207</v>
      </c>
      <c r="G198" t="s">
        <v>1208</v>
      </c>
      <c r="H198" s="27" t="s">
        <v>37</v>
      </c>
      <c r="I198" s="27" t="s">
        <v>107</v>
      </c>
      <c r="J198"/>
      <c r="K198"/>
      <c r="L198"/>
      <c r="M198">
        <v>7.31e-7</v>
      </c>
      <c r="N198" s="27" t="s">
        <v>565</v>
      </c>
      <c r="P198" s="123" t="s">
        <v>1207</v>
      </c>
      <c r="Q198" s="27" t="s">
        <v>1209</v>
      </c>
      <c r="R198" s="27" t="s">
        <v>107</v>
      </c>
      <c r="S198" s="27">
        <v>117864</v>
      </c>
      <c r="U198" s="27" t="s">
        <v>1210</v>
      </c>
      <c r="V198" t="s">
        <v>1208</v>
      </c>
      <c r="W198"/>
      <c r="X198" s="27" t="s">
        <v>37</v>
      </c>
      <c r="Y198" s="27" t="s">
        <v>216</v>
      </c>
      <c r="Z198" s="40">
        <v>0.00194</v>
      </c>
      <c r="AA198" s="40">
        <v>0.058</v>
      </c>
      <c r="AB198" s="40">
        <v>76</v>
      </c>
      <c r="AC198">
        <v>7.31e-7</v>
      </c>
      <c r="AD198" s="40">
        <v>1443</v>
      </c>
      <c r="AE198" t="s">
        <v>42</v>
      </c>
      <c r="AF198" t="s">
        <v>42</v>
      </c>
      <c r="AG198" t="s">
        <v>42</v>
      </c>
      <c r="AH198" t="s">
        <v>42</v>
      </c>
      <c r="AI198" s="27" t="s">
        <v>110</v>
      </c>
      <c r="AJ198" s="113" t="s">
        <v>111</v>
      </c>
      <c r="AK198" s="38" t="s">
        <v>45</v>
      </c>
    </row>
    <row r="199" spans="1:37">
      <c r="A199" s="41" t="s">
        <v>1211</v>
      </c>
      <c r="B199" s="42" t="s">
        <v>1212</v>
      </c>
      <c r="C199" s="43" t="s">
        <v>1213</v>
      </c>
      <c r="D199" s="27" t="s">
        <v>438</v>
      </c>
      <c r="F199" s="124" t="s">
        <v>930</v>
      </c>
      <c r="G199" t="s">
        <v>1214</v>
      </c>
      <c r="H199" s="27" t="s">
        <v>37</v>
      </c>
      <c r="I199" s="27" t="s">
        <v>1215</v>
      </c>
      <c r="J199"/>
      <c r="K199"/>
      <c r="L199"/>
      <c r="M199">
        <v>0.00289</v>
      </c>
      <c r="N199" s="27" t="s">
        <v>442</v>
      </c>
      <c r="P199" s="124" t="s">
        <v>930</v>
      </c>
      <c r="Q199" s="27" t="s">
        <v>1216</v>
      </c>
      <c r="R199" s="27" t="s">
        <v>1215</v>
      </c>
      <c r="S199" s="27">
        <v>75498</v>
      </c>
      <c r="U199" s="27" t="s">
        <v>1217</v>
      </c>
      <c r="V199" t="s">
        <v>1214</v>
      </c>
      <c r="W199"/>
      <c r="X199" s="27" t="s">
        <v>37</v>
      </c>
      <c r="Y199" s="27" t="s">
        <v>216</v>
      </c>
      <c r="Z199">
        <v>0.777</v>
      </c>
      <c r="AA199">
        <v>0.296</v>
      </c>
      <c r="AB199">
        <v>0</v>
      </c>
      <c r="AC199">
        <v>0.00289</v>
      </c>
      <c r="AD199" s="7">
        <v>55</v>
      </c>
      <c r="AI199" s="27" t="s">
        <v>110</v>
      </c>
      <c r="AJ199" s="113" t="s">
        <v>63</v>
      </c>
      <c r="AK199" s="38" t="s">
        <v>45</v>
      </c>
    </row>
    <row r="200" spans="1:37">
      <c r="A200" s="41" t="s">
        <v>1218</v>
      </c>
      <c r="B200" s="42" t="s">
        <v>1219</v>
      </c>
      <c r="C200" s="27" t="s">
        <v>679</v>
      </c>
      <c r="D200" s="27" t="s">
        <v>680</v>
      </c>
      <c r="F200" s="122" t="s">
        <v>1220</v>
      </c>
      <c r="G200" t="s">
        <v>1221</v>
      </c>
      <c r="H200" s="27" t="s">
        <v>79</v>
      </c>
      <c r="I200" s="27" t="s">
        <v>1222</v>
      </c>
      <c r="J200"/>
      <c r="K200"/>
      <c r="L200"/>
      <c r="M200">
        <v>0.0115</v>
      </c>
      <c r="N200" s="27" t="s">
        <v>684</v>
      </c>
      <c r="P200" s="122" t="s">
        <v>1220</v>
      </c>
      <c r="Q200" s="27" t="s">
        <v>1223</v>
      </c>
      <c r="R200" s="27" t="s">
        <v>1222</v>
      </c>
      <c r="S200" s="27">
        <v>988121</v>
      </c>
      <c r="U200" s="27" t="s">
        <v>1224</v>
      </c>
      <c r="V200" t="s">
        <v>1221</v>
      </c>
      <c r="W200"/>
      <c r="X200" s="27" t="s">
        <v>79</v>
      </c>
      <c r="Y200" s="27" t="s">
        <v>216</v>
      </c>
      <c r="Z200">
        <v>0.00262</v>
      </c>
      <c r="AA200">
        <v>0.184</v>
      </c>
      <c r="AB200">
        <v>88.8</v>
      </c>
      <c r="AC200">
        <v>0.0115</v>
      </c>
      <c r="AD200">
        <v>640</v>
      </c>
      <c r="AE200" t="s">
        <v>42</v>
      </c>
      <c r="AF200" t="s">
        <v>42</v>
      </c>
      <c r="AG200" t="s">
        <v>42</v>
      </c>
      <c r="AH200" t="s">
        <v>42</v>
      </c>
      <c r="AI200" s="27" t="s">
        <v>62</v>
      </c>
      <c r="AJ200" s="113" t="s">
        <v>63</v>
      </c>
      <c r="AK200" s="38" t="s">
        <v>45</v>
      </c>
    </row>
    <row r="201" spans="1:37">
      <c r="A201" s="41" t="s">
        <v>1225</v>
      </c>
      <c r="B201" s="42" t="s">
        <v>1219</v>
      </c>
      <c r="C201" s="27" t="s">
        <v>1226</v>
      </c>
      <c r="D201" s="27" t="s">
        <v>33</v>
      </c>
      <c r="F201" s="122" t="s">
        <v>1227</v>
      </c>
      <c r="G201" t="s">
        <v>1228</v>
      </c>
      <c r="H201" s="27" t="s">
        <v>79</v>
      </c>
      <c r="I201" s="27">
        <v>19263</v>
      </c>
      <c r="J201"/>
      <c r="K201"/>
      <c r="L201"/>
      <c r="M201">
        <v>0.0443</v>
      </c>
      <c r="N201" s="27" t="s">
        <v>38</v>
      </c>
      <c r="P201" s="122" t="s">
        <v>1227</v>
      </c>
      <c r="Q201" s="27" t="s">
        <v>1229</v>
      </c>
      <c r="R201" s="27">
        <v>19263</v>
      </c>
      <c r="S201" s="27">
        <v>116782</v>
      </c>
      <c r="U201" s="27" t="s">
        <v>1230</v>
      </c>
      <c r="V201" t="s">
        <v>1228</v>
      </c>
      <c r="W201"/>
      <c r="X201" s="27" t="s">
        <v>79</v>
      </c>
      <c r="Y201" s="27" t="s">
        <v>341</v>
      </c>
      <c r="Z201">
        <v>0.579</v>
      </c>
      <c r="AA201">
        <v>0.795</v>
      </c>
      <c r="AB201">
        <v>35.7</v>
      </c>
      <c r="AC201">
        <v>0.0443</v>
      </c>
      <c r="AD201">
        <v>20</v>
      </c>
      <c r="AE201" t="s">
        <v>42</v>
      </c>
      <c r="AF201" t="s">
        <v>42</v>
      </c>
      <c r="AG201" t="s">
        <v>42</v>
      </c>
      <c r="AH201" t="s">
        <v>42</v>
      </c>
      <c r="AI201" s="27" t="s">
        <v>146</v>
      </c>
      <c r="AJ201" s="113" t="s">
        <v>63</v>
      </c>
      <c r="AK201" s="38" t="s">
        <v>62</v>
      </c>
    </row>
    <row r="202" spans="1:37">
      <c r="A202" s="41" t="s">
        <v>1231</v>
      </c>
      <c r="B202" s="42" t="s">
        <v>1219</v>
      </c>
      <c r="C202" s="27" t="s">
        <v>1226</v>
      </c>
      <c r="D202" s="27" t="s">
        <v>55</v>
      </c>
      <c r="F202" s="122" t="s">
        <v>374</v>
      </c>
      <c r="G202" t="s">
        <v>1232</v>
      </c>
      <c r="H202" s="27" t="s">
        <v>79</v>
      </c>
      <c r="I202" s="27">
        <v>1695</v>
      </c>
      <c r="J202"/>
      <c r="K202"/>
      <c r="L202"/>
      <c r="M202">
        <v>0.692</v>
      </c>
      <c r="N202" s="27" t="s">
        <v>59</v>
      </c>
      <c r="P202" s="122" t="s">
        <v>374</v>
      </c>
      <c r="Q202" s="27" t="s">
        <v>1233</v>
      </c>
      <c r="R202" s="27">
        <v>1695</v>
      </c>
      <c r="S202" s="27">
        <v>20641</v>
      </c>
      <c r="U202" s="27" t="s">
        <v>1234</v>
      </c>
      <c r="V202" t="s">
        <v>1232</v>
      </c>
      <c r="W202"/>
      <c r="X202" s="27" t="s">
        <v>79</v>
      </c>
      <c r="Y202" s="27" t="s">
        <v>341</v>
      </c>
      <c r="Z202">
        <v>0.786</v>
      </c>
      <c r="AA202">
        <v>0.487</v>
      </c>
      <c r="AB202">
        <v>73.3</v>
      </c>
      <c r="AC202">
        <v>0.692</v>
      </c>
      <c r="AD202" t="s">
        <v>42</v>
      </c>
      <c r="AE202">
        <v>106</v>
      </c>
      <c r="AF202">
        <v>33</v>
      </c>
      <c r="AG202">
        <v>220</v>
      </c>
      <c r="AH202">
        <v>57</v>
      </c>
      <c r="AI202" s="27" t="s">
        <v>146</v>
      </c>
      <c r="AJ202" s="113" t="s">
        <v>44</v>
      </c>
      <c r="AK202" s="38" t="s">
        <v>45</v>
      </c>
    </row>
    <row r="203" spans="1:37">
      <c r="A203" s="41" t="s">
        <v>1235</v>
      </c>
      <c r="B203" s="42" t="s">
        <v>1219</v>
      </c>
      <c r="C203" s="27" t="s">
        <v>1226</v>
      </c>
      <c r="D203" s="34" t="s">
        <v>568</v>
      </c>
      <c r="F203" s="122" t="s">
        <v>530</v>
      </c>
      <c r="G203" t="s">
        <v>1236</v>
      </c>
      <c r="H203" s="27" t="s">
        <v>79</v>
      </c>
      <c r="I203" s="27">
        <v>2713</v>
      </c>
      <c r="J203"/>
      <c r="K203"/>
      <c r="L203"/>
      <c r="M203">
        <v>0.894</v>
      </c>
      <c r="N203" s="34" t="s">
        <v>571</v>
      </c>
      <c r="P203" s="122" t="s">
        <v>530</v>
      </c>
      <c r="Q203" s="27" t="s">
        <v>1237</v>
      </c>
      <c r="R203" s="27">
        <v>2713</v>
      </c>
      <c r="S203" s="27">
        <v>11333</v>
      </c>
      <c r="U203" s="27" t="s">
        <v>1238</v>
      </c>
      <c r="V203" t="s">
        <v>1236</v>
      </c>
      <c r="W203"/>
      <c r="X203" s="27" t="s">
        <v>79</v>
      </c>
      <c r="Y203" s="27" t="s">
        <v>341</v>
      </c>
      <c r="Z203">
        <v>0.15</v>
      </c>
      <c r="AA203">
        <v>0.786</v>
      </c>
      <c r="AB203">
        <v>41.8</v>
      </c>
      <c r="AC203">
        <v>0.894</v>
      </c>
      <c r="AD203" t="s">
        <v>42</v>
      </c>
      <c r="AE203">
        <v>2765</v>
      </c>
      <c r="AF203">
        <v>19</v>
      </c>
      <c r="AG203" t="s">
        <v>159</v>
      </c>
      <c r="AH203">
        <v>31</v>
      </c>
      <c r="AI203" s="27" t="s">
        <v>146</v>
      </c>
      <c r="AJ203" s="113" t="s">
        <v>44</v>
      </c>
      <c r="AK203" s="38" t="s">
        <v>45</v>
      </c>
    </row>
    <row r="204" spans="1:37">
      <c r="A204" s="41" t="s">
        <v>1239</v>
      </c>
      <c r="B204" s="42" t="s">
        <v>1240</v>
      </c>
      <c r="C204" s="27" t="s">
        <v>1226</v>
      </c>
      <c r="D204" s="27" t="s">
        <v>33</v>
      </c>
      <c r="F204" s="122" t="s">
        <v>116</v>
      </c>
      <c r="G204" t="s">
        <v>1241</v>
      </c>
      <c r="H204" s="27" t="s">
        <v>79</v>
      </c>
      <c r="I204" s="27">
        <v>16290</v>
      </c>
      <c r="J204"/>
      <c r="K204"/>
      <c r="L204"/>
      <c r="M204">
        <v>0.828</v>
      </c>
      <c r="N204" s="27" t="s">
        <v>38</v>
      </c>
      <c r="P204" s="122" t="s">
        <v>116</v>
      </c>
      <c r="Q204" s="27" t="s">
        <v>1242</v>
      </c>
      <c r="R204" s="27">
        <v>16290</v>
      </c>
      <c r="S204" s="27">
        <v>36816</v>
      </c>
      <c r="U204" s="27" t="s">
        <v>1243</v>
      </c>
      <c r="V204" t="s">
        <v>1241</v>
      </c>
      <c r="W204"/>
      <c r="X204" s="27" t="s">
        <v>79</v>
      </c>
      <c r="Y204" s="27" t="s">
        <v>341</v>
      </c>
      <c r="Z204">
        <v>0.767</v>
      </c>
      <c r="AA204">
        <v>0.268</v>
      </c>
      <c r="AB204">
        <v>83.8</v>
      </c>
      <c r="AC204">
        <v>0.828</v>
      </c>
      <c r="AD204" t="s">
        <v>42</v>
      </c>
      <c r="AE204">
        <v>349</v>
      </c>
      <c r="AF204">
        <v>23</v>
      </c>
      <c r="AG204">
        <v>718</v>
      </c>
      <c r="AH204">
        <v>42</v>
      </c>
      <c r="AI204" s="27" t="s">
        <v>146</v>
      </c>
      <c r="AJ204" s="113" t="s">
        <v>44</v>
      </c>
      <c r="AK204" s="38" t="s">
        <v>45</v>
      </c>
    </row>
    <row r="205" spans="1:37">
      <c r="A205" s="41" t="s">
        <v>1244</v>
      </c>
      <c r="B205" s="42" t="s">
        <v>1240</v>
      </c>
      <c r="C205" s="27" t="s">
        <v>679</v>
      </c>
      <c r="D205" s="28" t="s">
        <v>562</v>
      </c>
      <c r="F205" s="122" t="s">
        <v>471</v>
      </c>
      <c r="G205" t="s">
        <v>1245</v>
      </c>
      <c r="H205" s="27" t="s">
        <v>79</v>
      </c>
      <c r="I205" s="27" t="s">
        <v>1246</v>
      </c>
      <c r="J205"/>
      <c r="K205"/>
      <c r="L205"/>
      <c r="M205">
        <v>0.313</v>
      </c>
      <c r="N205" s="27" t="s">
        <v>565</v>
      </c>
      <c r="P205" s="122" t="s">
        <v>471</v>
      </c>
      <c r="Q205" s="27" t="s">
        <v>1247</v>
      </c>
      <c r="R205" s="27" t="s">
        <v>1246</v>
      </c>
      <c r="S205" s="27">
        <v>9268</v>
      </c>
      <c r="U205" s="27" t="s">
        <v>1248</v>
      </c>
      <c r="V205" t="s">
        <v>1245</v>
      </c>
      <c r="W205"/>
      <c r="X205" s="27" t="s">
        <v>79</v>
      </c>
      <c r="Y205" s="27" t="s">
        <v>216</v>
      </c>
      <c r="Z205">
        <v>0.722</v>
      </c>
      <c r="AA205">
        <v>0.826</v>
      </c>
      <c r="AB205">
        <v>55</v>
      </c>
      <c r="AC205">
        <v>0.313</v>
      </c>
      <c r="AD205" t="s">
        <v>42</v>
      </c>
      <c r="AE205">
        <v>20</v>
      </c>
      <c r="AF205">
        <v>139</v>
      </c>
      <c r="AG205">
        <v>44</v>
      </c>
      <c r="AH205">
        <v>252</v>
      </c>
      <c r="AI205" s="27" t="s">
        <v>62</v>
      </c>
      <c r="AJ205" s="113" t="s">
        <v>44</v>
      </c>
      <c r="AK205" s="38" t="s">
        <v>45</v>
      </c>
    </row>
    <row r="206" s="27" customFormat="1" spans="1:37">
      <c r="A206" s="27" t="s">
        <v>1249</v>
      </c>
      <c r="B206" s="27" t="s">
        <v>1250</v>
      </c>
      <c r="C206" s="27" t="s">
        <v>1251</v>
      </c>
      <c r="D206" s="28" t="s">
        <v>562</v>
      </c>
      <c r="F206" s="123" t="s">
        <v>1252</v>
      </c>
      <c r="G206" s="40" t="s">
        <v>1253</v>
      </c>
      <c r="H206" s="27" t="s">
        <v>37</v>
      </c>
      <c r="I206" s="27" t="s">
        <v>208</v>
      </c>
      <c r="J206" s="40"/>
      <c r="K206" s="40"/>
      <c r="L206" s="40"/>
      <c r="M206" s="40">
        <v>0.0128</v>
      </c>
      <c r="N206" s="27" t="s">
        <v>565</v>
      </c>
      <c r="P206" s="123" t="s">
        <v>1252</v>
      </c>
      <c r="Q206" s="27" t="s">
        <v>1254</v>
      </c>
      <c r="R206" s="27" t="s">
        <v>208</v>
      </c>
      <c r="S206" s="27">
        <v>11766</v>
      </c>
      <c r="U206" s="27" t="s">
        <v>1255</v>
      </c>
      <c r="V206" s="40" t="s">
        <v>1253</v>
      </c>
      <c r="W206" s="40"/>
      <c r="X206" s="27" t="s">
        <v>37</v>
      </c>
      <c r="Y206" s="27" t="s">
        <v>341</v>
      </c>
      <c r="Z206" s="40">
        <v>0.121</v>
      </c>
      <c r="AA206" s="40">
        <v>0.794</v>
      </c>
      <c r="AB206" s="40">
        <v>0</v>
      </c>
      <c r="AC206" s="40">
        <v>0.0128</v>
      </c>
      <c r="AD206" s="40">
        <v>18</v>
      </c>
      <c r="AI206" s="27" t="s">
        <v>110</v>
      </c>
      <c r="AJ206" s="113" t="s">
        <v>63</v>
      </c>
      <c r="AK206" s="38" t="s">
        <v>45</v>
      </c>
    </row>
    <row r="207" spans="1:37">
      <c r="A207" s="41" t="s">
        <v>1256</v>
      </c>
      <c r="B207" s="42" t="s">
        <v>1257</v>
      </c>
      <c r="C207" s="27" t="s">
        <v>1258</v>
      </c>
      <c r="D207" s="28" t="s">
        <v>562</v>
      </c>
      <c r="F207" s="122" t="s">
        <v>1259</v>
      </c>
      <c r="G207" t="s">
        <v>1260</v>
      </c>
      <c r="H207" s="27" t="s">
        <v>37</v>
      </c>
      <c r="I207" s="27">
        <v>1948</v>
      </c>
      <c r="J207"/>
      <c r="K207"/>
      <c r="L207"/>
      <c r="M207">
        <v>0.00123</v>
      </c>
      <c r="N207" s="27" t="s">
        <v>565</v>
      </c>
      <c r="P207" s="122" t="s">
        <v>1259</v>
      </c>
      <c r="Q207" s="27" t="s">
        <v>1261</v>
      </c>
      <c r="R207" s="27">
        <v>1948</v>
      </c>
      <c r="S207" s="27">
        <v>15682</v>
      </c>
      <c r="U207" s="27" t="s">
        <v>1262</v>
      </c>
      <c r="V207" t="s">
        <v>1260</v>
      </c>
      <c r="W207"/>
      <c r="X207" s="27" t="s">
        <v>37</v>
      </c>
      <c r="Y207" s="27" t="s">
        <v>216</v>
      </c>
      <c r="Z207">
        <v>0.0158</v>
      </c>
      <c r="AA207">
        <v>0.0969</v>
      </c>
      <c r="AB207">
        <v>79.2</v>
      </c>
      <c r="AC207">
        <v>0.00123</v>
      </c>
      <c r="AD207">
        <v>284</v>
      </c>
      <c r="AE207" t="s">
        <v>42</v>
      </c>
      <c r="AF207" t="s">
        <v>42</v>
      </c>
      <c r="AG207" t="s">
        <v>42</v>
      </c>
      <c r="AH207" t="s">
        <v>42</v>
      </c>
      <c r="AI207" s="27" t="s">
        <v>110</v>
      </c>
      <c r="AJ207" s="113" t="s">
        <v>63</v>
      </c>
      <c r="AK207" s="49" t="s">
        <v>45</v>
      </c>
    </row>
    <row r="208" spans="1:37">
      <c r="A208" s="41" t="s">
        <v>1263</v>
      </c>
      <c r="B208" s="42" t="s">
        <v>1264</v>
      </c>
      <c r="C208" s="27" t="s">
        <v>1258</v>
      </c>
      <c r="D208" s="28" t="s">
        <v>562</v>
      </c>
      <c r="F208" s="122" t="s">
        <v>343</v>
      </c>
      <c r="G208" t="s">
        <v>1265</v>
      </c>
      <c r="H208" s="27" t="s">
        <v>37</v>
      </c>
      <c r="I208" s="27">
        <v>412</v>
      </c>
      <c r="J208"/>
      <c r="K208"/>
      <c r="L208"/>
      <c r="M208">
        <v>0.561</v>
      </c>
      <c r="N208" s="27" t="s">
        <v>565</v>
      </c>
      <c r="P208" s="122" t="s">
        <v>343</v>
      </c>
      <c r="Q208" s="27" t="s">
        <v>1266</v>
      </c>
      <c r="R208" s="27">
        <v>412</v>
      </c>
      <c r="S208" s="27">
        <v>1254</v>
      </c>
      <c r="U208" s="27" t="s">
        <v>1267</v>
      </c>
      <c r="V208" t="s">
        <v>1265</v>
      </c>
      <c r="W208"/>
      <c r="X208" s="27" t="s">
        <v>37</v>
      </c>
      <c r="Y208" s="27" t="s">
        <v>216</v>
      </c>
      <c r="Z208">
        <v>0.0174</v>
      </c>
      <c r="AA208">
        <v>0.597</v>
      </c>
      <c r="AB208">
        <v>52.2</v>
      </c>
      <c r="AC208">
        <v>0.561</v>
      </c>
      <c r="AD208" t="s">
        <v>42</v>
      </c>
      <c r="AE208">
        <v>31</v>
      </c>
      <c r="AF208">
        <v>17</v>
      </c>
      <c r="AG208">
        <v>66</v>
      </c>
      <c r="AH208">
        <v>27</v>
      </c>
      <c r="AI208" s="27" t="s">
        <v>110</v>
      </c>
      <c r="AJ208" s="113" t="s">
        <v>44</v>
      </c>
      <c r="AK208" s="38" t="s">
        <v>45</v>
      </c>
    </row>
    <row r="209" spans="1:39">
      <c r="A209" s="41" t="s">
        <v>1268</v>
      </c>
      <c r="B209" s="42" t="s">
        <v>1269</v>
      </c>
      <c r="C209" s="27" t="s">
        <v>1258</v>
      </c>
      <c r="D209" s="28" t="s">
        <v>562</v>
      </c>
      <c r="F209" s="122" t="s">
        <v>616</v>
      </c>
      <c r="G209" t="s">
        <v>1270</v>
      </c>
      <c r="H209" s="27" t="s">
        <v>37</v>
      </c>
      <c r="I209" s="27">
        <v>1228</v>
      </c>
      <c r="J209"/>
      <c r="K209"/>
      <c r="L209"/>
      <c r="M209">
        <v>0.223</v>
      </c>
      <c r="N209" s="27" t="s">
        <v>565</v>
      </c>
      <c r="P209" s="122" t="s">
        <v>616</v>
      </c>
      <c r="Q209" s="27" t="s">
        <v>1271</v>
      </c>
      <c r="R209" s="27">
        <v>1228</v>
      </c>
      <c r="S209" s="27">
        <v>4304</v>
      </c>
      <c r="U209" s="27" t="s">
        <v>1272</v>
      </c>
      <c r="V209" t="s">
        <v>1270</v>
      </c>
      <c r="W209"/>
      <c r="X209" s="27" t="s">
        <v>37</v>
      </c>
      <c r="Y209" s="27" t="s">
        <v>216</v>
      </c>
      <c r="Z209">
        <v>0.666</v>
      </c>
      <c r="AA209">
        <v>0.502</v>
      </c>
      <c r="AB209">
        <v>54.2</v>
      </c>
      <c r="AC209">
        <v>0.223</v>
      </c>
      <c r="AD209" t="s">
        <v>42</v>
      </c>
      <c r="AE209">
        <v>11</v>
      </c>
      <c r="AF209">
        <v>5</v>
      </c>
      <c r="AG209">
        <v>30</v>
      </c>
      <c r="AH209">
        <v>10</v>
      </c>
      <c r="AI209" s="27" t="s">
        <v>110</v>
      </c>
      <c r="AJ209" s="113" t="s">
        <v>44</v>
      </c>
      <c r="AK209" s="38" t="s">
        <v>45</v>
      </c>
    </row>
    <row r="210" spans="1:39">
      <c r="A210" s="41" t="s">
        <v>1273</v>
      </c>
      <c r="B210" s="42" t="s">
        <v>1274</v>
      </c>
      <c r="C210" s="43" t="s">
        <v>1275</v>
      </c>
      <c r="D210" s="28" t="s">
        <v>438</v>
      </c>
      <c r="F210" s="124" t="s">
        <v>930</v>
      </c>
      <c r="G210" s="40" t="s">
        <v>1276</v>
      </c>
      <c r="H210" s="27" t="s">
        <v>79</v>
      </c>
      <c r="I210" s="27" t="s">
        <v>1277</v>
      </c>
      <c r="J210" s="40"/>
      <c r="K210" s="40"/>
      <c r="L210" s="40"/>
      <c r="M210" s="40">
        <v>0.0219</v>
      </c>
      <c r="N210" s="27" t="s">
        <v>442</v>
      </c>
      <c r="P210" s="124" t="s">
        <v>930</v>
      </c>
      <c r="Q210" s="27" t="s">
        <v>1278</v>
      </c>
      <c r="R210" s="27" t="s">
        <v>1277</v>
      </c>
      <c r="S210" s="27">
        <v>10999</v>
      </c>
      <c r="U210" s="27" t="s">
        <v>1279</v>
      </c>
      <c r="V210" s="40" t="s">
        <v>1276</v>
      </c>
      <c r="W210" s="40"/>
      <c r="X210" s="27" t="s">
        <v>79</v>
      </c>
      <c r="Y210" s="27" t="s">
        <v>216</v>
      </c>
      <c r="Z210" s="40">
        <v>0.027</v>
      </c>
      <c r="AA210" s="40">
        <v>0.538</v>
      </c>
      <c r="AB210" s="40">
        <v>82</v>
      </c>
      <c r="AC210" s="40">
        <v>0.0219</v>
      </c>
      <c r="AD210" s="40">
        <v>77</v>
      </c>
      <c r="AE210" t="s">
        <v>42</v>
      </c>
      <c r="AF210" t="s">
        <v>42</v>
      </c>
      <c r="AG210" t="s">
        <v>42</v>
      </c>
      <c r="AH210" t="s">
        <v>42</v>
      </c>
      <c r="AI210" s="27" t="s">
        <v>62</v>
      </c>
      <c r="AJ210" s="113" t="s">
        <v>63</v>
      </c>
      <c r="AK210" s="49" t="s">
        <v>45</v>
      </c>
    </row>
    <row r="211" s="48" customFormat="1" spans="1:39">
      <c r="A211" s="34" t="s">
        <v>1280</v>
      </c>
      <c r="B211" s="47" t="s">
        <v>1281</v>
      </c>
      <c r="C211" s="34" t="s">
        <v>1282</v>
      </c>
      <c r="D211" s="34" t="s">
        <v>438</v>
      </c>
      <c r="E211" s="34"/>
      <c r="F211" s="128" t="s">
        <v>493</v>
      </c>
      <c r="G211" s="7"/>
      <c r="H211" s="34" t="s">
        <v>79</v>
      </c>
      <c r="I211" s="34">
        <v>1065</v>
      </c>
      <c r="J211" s="7"/>
      <c r="K211" s="7"/>
      <c r="L211" s="7"/>
      <c r="M211" s="7">
        <v>0.0553</v>
      </c>
      <c r="N211" s="34" t="s">
        <v>442</v>
      </c>
      <c r="O211" s="34"/>
      <c r="P211" s="128" t="s">
        <v>493</v>
      </c>
      <c r="Q211" s="34" t="s">
        <v>1283</v>
      </c>
      <c r="R211" s="34">
        <v>1065</v>
      </c>
      <c r="S211" s="47">
        <v>8895</v>
      </c>
      <c r="T211" s="47"/>
      <c r="U211" s="47" t="s">
        <v>1284</v>
      </c>
      <c r="V211" s="7"/>
      <c r="W211" s="7">
        <v>1</v>
      </c>
      <c r="X211" s="34" t="s">
        <v>79</v>
      </c>
      <c r="Y211" s="34" t="s">
        <v>341</v>
      </c>
      <c r="Z211" s="7">
        <v>0.129</v>
      </c>
      <c r="AA211" s="7">
        <v>0.14</v>
      </c>
      <c r="AB211" s="7">
        <v>61.8</v>
      </c>
      <c r="AC211" s="7">
        <v>0.0553</v>
      </c>
      <c r="AD211" s="34"/>
      <c r="AE211" s="7">
        <v>0</v>
      </c>
      <c r="AF211" s="7" t="s">
        <v>159</v>
      </c>
      <c r="AG211" s="7">
        <v>1</v>
      </c>
      <c r="AH211" s="7">
        <v>1</v>
      </c>
      <c r="AI211" s="34" t="s">
        <v>146</v>
      </c>
      <c r="AJ211" s="113" t="s">
        <v>44</v>
      </c>
      <c r="AK211" s="49" t="s">
        <v>45</v>
      </c>
      <c r="AL211" s="34"/>
      <c r="AM211" s="34"/>
    </row>
    <row r="212" spans="1:39">
      <c r="A212" s="27" t="s">
        <v>1285</v>
      </c>
      <c r="B212" s="27" t="s">
        <v>1286</v>
      </c>
      <c r="C212" s="27" t="s">
        <v>1282</v>
      </c>
      <c r="D212" s="27" t="s">
        <v>438</v>
      </c>
      <c r="F212" s="123" t="s">
        <v>1287</v>
      </c>
      <c r="G212" s="40" t="s">
        <v>1288</v>
      </c>
      <c r="H212" s="27" t="s">
        <v>79</v>
      </c>
      <c r="I212" s="27">
        <v>1619</v>
      </c>
      <c r="J212" s="40"/>
      <c r="K212" s="40"/>
      <c r="L212" s="40"/>
      <c r="M212" s="40">
        <v>0.00522</v>
      </c>
      <c r="N212" s="27" t="s">
        <v>442</v>
      </c>
      <c r="P212" s="123" t="s">
        <v>1287</v>
      </c>
      <c r="Q212" s="27" t="s">
        <v>1289</v>
      </c>
      <c r="R212" s="27">
        <v>1619</v>
      </c>
      <c r="S212" s="27">
        <v>54643</v>
      </c>
      <c r="U212" s="27" t="s">
        <v>1290</v>
      </c>
      <c r="V212" s="40" t="s">
        <v>1288</v>
      </c>
      <c r="W212" s="40"/>
      <c r="X212" s="27" t="s">
        <v>79</v>
      </c>
      <c r="Y212" s="27" t="s">
        <v>341</v>
      </c>
      <c r="Z212" s="40">
        <v>0.0864</v>
      </c>
      <c r="AA212" s="40">
        <v>0.727</v>
      </c>
      <c r="AB212" s="40">
        <v>74.6</v>
      </c>
      <c r="AC212" s="40">
        <v>0.00522</v>
      </c>
      <c r="AD212" s="40">
        <v>140</v>
      </c>
      <c r="AE212" s="27"/>
      <c r="AF212" s="27"/>
      <c r="AG212" s="27"/>
      <c r="AH212" s="27"/>
      <c r="AI212" s="27" t="s">
        <v>146</v>
      </c>
      <c r="AJ212" s="113" t="s">
        <v>63</v>
      </c>
      <c r="AK212" s="38" t="s">
        <v>45</v>
      </c>
      <c r="AL212" s="27"/>
      <c r="AM212" s="27"/>
    </row>
    <row r="213" spans="1:39">
      <c r="A213" s="41" t="s">
        <v>1291</v>
      </c>
      <c r="B213" s="42" t="s">
        <v>1292</v>
      </c>
      <c r="C213" s="27" t="s">
        <v>1293</v>
      </c>
      <c r="D213" s="27" t="s">
        <v>33</v>
      </c>
      <c r="F213" s="122" t="s">
        <v>343</v>
      </c>
      <c r="G213" t="s">
        <v>1294</v>
      </c>
      <c r="H213" s="27" t="s">
        <v>79</v>
      </c>
      <c r="I213" s="27">
        <v>304</v>
      </c>
      <c r="J213"/>
      <c r="K213"/>
      <c r="L213"/>
      <c r="M213">
        <v>0.0296</v>
      </c>
      <c r="N213" s="27" t="s">
        <v>38</v>
      </c>
      <c r="P213" s="122" t="s">
        <v>343</v>
      </c>
      <c r="Q213" s="27" t="s">
        <v>1295</v>
      </c>
      <c r="R213" s="27">
        <v>304</v>
      </c>
      <c r="S213" s="27">
        <v>2901</v>
      </c>
      <c r="U213" s="27" t="s">
        <v>1296</v>
      </c>
      <c r="V213" t="s">
        <v>1294</v>
      </c>
      <c r="W213"/>
      <c r="X213" s="27" t="s">
        <v>79</v>
      </c>
      <c r="Y213" s="27" t="s">
        <v>216</v>
      </c>
      <c r="Z213">
        <v>0.407</v>
      </c>
      <c r="AA213">
        <v>0.838</v>
      </c>
      <c r="AB213">
        <v>0</v>
      </c>
      <c r="AC213">
        <v>0.0296</v>
      </c>
      <c r="AD213">
        <v>3</v>
      </c>
      <c r="AE213" t="s">
        <v>42</v>
      </c>
      <c r="AF213" t="s">
        <v>42</v>
      </c>
      <c r="AG213" t="s">
        <v>42</v>
      </c>
      <c r="AH213" t="s">
        <v>42</v>
      </c>
      <c r="AI213" s="27" t="s">
        <v>62</v>
      </c>
      <c r="AJ213" s="113" t="s">
        <v>63</v>
      </c>
      <c r="AK213" s="49" t="s">
        <v>45</v>
      </c>
    </row>
    <row r="214" spans="1:39">
      <c r="A214" s="41" t="s">
        <v>1297</v>
      </c>
      <c r="B214" s="42" t="s">
        <v>1292</v>
      </c>
      <c r="C214" s="27" t="s">
        <v>1293</v>
      </c>
      <c r="D214" s="27" t="s">
        <v>735</v>
      </c>
      <c r="E214" s="27" t="s">
        <v>1298</v>
      </c>
      <c r="F214" s="122" t="s">
        <v>304</v>
      </c>
      <c r="G214" t="s">
        <v>1294</v>
      </c>
      <c r="H214" s="27" t="s">
        <v>79</v>
      </c>
      <c r="I214" s="27">
        <v>192</v>
      </c>
      <c r="J214"/>
      <c r="K214"/>
      <c r="L214"/>
      <c r="M214">
        <v>0.0324</v>
      </c>
      <c r="N214" s="27" t="s">
        <v>737</v>
      </c>
      <c r="O214" s="27" t="s">
        <v>1298</v>
      </c>
      <c r="P214" s="122" t="s">
        <v>304</v>
      </c>
      <c r="Q214" s="27" t="s">
        <v>1299</v>
      </c>
      <c r="R214" s="27">
        <v>192</v>
      </c>
      <c r="S214" s="27">
        <v>6628</v>
      </c>
      <c r="U214" s="27" t="s">
        <v>1300</v>
      </c>
      <c r="V214" t="s">
        <v>1294</v>
      </c>
      <c r="W214"/>
      <c r="X214" s="27" t="s">
        <v>79</v>
      </c>
      <c r="Y214" s="27" t="s">
        <v>216</v>
      </c>
      <c r="Z214">
        <v>0.11</v>
      </c>
      <c r="AA214">
        <v>0.541</v>
      </c>
      <c r="AB214">
        <v>0</v>
      </c>
      <c r="AC214">
        <v>0.0324</v>
      </c>
      <c r="AD214">
        <v>0</v>
      </c>
      <c r="AE214" t="s">
        <v>42</v>
      </c>
      <c r="AF214" t="s">
        <v>42</v>
      </c>
      <c r="AG214" t="s">
        <v>42</v>
      </c>
      <c r="AH214" t="s">
        <v>42</v>
      </c>
      <c r="AI214" s="27" t="s">
        <v>62</v>
      </c>
      <c r="AJ214" s="113" t="s">
        <v>63</v>
      </c>
      <c r="AK214" s="38" t="s">
        <v>45</v>
      </c>
    </row>
    <row r="215" spans="1:39">
      <c r="A215" s="41" t="s">
        <v>1301</v>
      </c>
      <c r="B215" s="42" t="s">
        <v>1302</v>
      </c>
      <c r="C215" s="27" t="s">
        <v>1303</v>
      </c>
      <c r="D215" s="27" t="s">
        <v>33</v>
      </c>
      <c r="F215" s="122" t="s">
        <v>304</v>
      </c>
      <c r="G215" t="s">
        <v>1304</v>
      </c>
      <c r="H215" s="27" t="s">
        <v>37</v>
      </c>
      <c r="I215" s="27">
        <v>1041</v>
      </c>
      <c r="J215"/>
      <c r="K215"/>
      <c r="L215"/>
      <c r="M215">
        <v>0.0103</v>
      </c>
      <c r="N215" s="27" t="s">
        <v>38</v>
      </c>
      <c r="P215" s="122" t="s">
        <v>304</v>
      </c>
      <c r="Q215" s="27" t="s">
        <v>1305</v>
      </c>
      <c r="R215" s="27">
        <v>1041</v>
      </c>
      <c r="S215" s="27">
        <v>5603</v>
      </c>
      <c r="U215" s="27" t="s">
        <v>1306</v>
      </c>
      <c r="V215" t="s">
        <v>1304</v>
      </c>
      <c r="W215"/>
      <c r="X215" s="27" t="s">
        <v>37</v>
      </c>
      <c r="Y215" s="27" t="s">
        <v>216</v>
      </c>
      <c r="Z215">
        <v>0.413</v>
      </c>
      <c r="AA215">
        <v>0.622</v>
      </c>
      <c r="AB215">
        <v>0</v>
      </c>
      <c r="AC215">
        <v>0.0103</v>
      </c>
      <c r="AD215">
        <v>16</v>
      </c>
      <c r="AE215" t="s">
        <v>42</v>
      </c>
      <c r="AF215" t="s">
        <v>42</v>
      </c>
      <c r="AG215" t="s">
        <v>42</v>
      </c>
      <c r="AH215" t="s">
        <v>42</v>
      </c>
      <c r="AI215" s="27" t="s">
        <v>62</v>
      </c>
      <c r="AJ215" s="113" t="s">
        <v>63</v>
      </c>
      <c r="AK215" s="38" t="s">
        <v>45</v>
      </c>
    </row>
    <row r="216" s="48" customFormat="1" spans="1:39">
      <c r="A216" s="34" t="s">
        <v>1307</v>
      </c>
      <c r="B216" s="45" t="s">
        <v>1302</v>
      </c>
      <c r="C216" s="34" t="s">
        <v>1303</v>
      </c>
      <c r="D216" s="34" t="s">
        <v>735</v>
      </c>
      <c r="E216" s="34"/>
      <c r="F216" s="126" t="s">
        <v>1064</v>
      </c>
      <c r="H216" s="34" t="s">
        <v>37</v>
      </c>
      <c r="I216" s="34">
        <v>304</v>
      </c>
      <c r="M216" s="48">
        <v>0.0713</v>
      </c>
      <c r="N216" s="34" t="s">
        <v>737</v>
      </c>
      <c r="O216" s="34"/>
      <c r="P216" s="126" t="s">
        <v>1064</v>
      </c>
      <c r="Q216" s="34" t="s">
        <v>1308</v>
      </c>
      <c r="R216" s="34">
        <v>304</v>
      </c>
      <c r="S216" s="47">
        <v>61790</v>
      </c>
      <c r="T216" s="47"/>
      <c r="U216" s="47" t="s">
        <v>1309</v>
      </c>
      <c r="W216" s="48">
        <v>1</v>
      </c>
      <c r="X216" s="34" t="s">
        <v>37</v>
      </c>
      <c r="Y216" s="34" t="s">
        <v>216</v>
      </c>
      <c r="Z216" s="48">
        <v>0.581</v>
      </c>
      <c r="AA216" s="48">
        <v>0.815</v>
      </c>
      <c r="AB216" s="48">
        <v>43</v>
      </c>
      <c r="AC216" s="48">
        <v>0.0713</v>
      </c>
      <c r="AD216" s="48" t="s">
        <v>42</v>
      </c>
      <c r="AE216" s="48">
        <v>0</v>
      </c>
      <c r="AF216" s="48" t="s">
        <v>159</v>
      </c>
      <c r="AG216" s="48">
        <v>1</v>
      </c>
      <c r="AH216" s="48">
        <v>1</v>
      </c>
      <c r="AI216" s="34" t="s">
        <v>62</v>
      </c>
      <c r="AJ216" s="113" t="s">
        <v>44</v>
      </c>
      <c r="AK216" s="49" t="s">
        <v>45</v>
      </c>
    </row>
    <row r="217" spans="1:39">
      <c r="A217" s="41" t="s">
        <v>1310</v>
      </c>
      <c r="B217" s="42" t="s">
        <v>1302</v>
      </c>
      <c r="C217" s="27" t="s">
        <v>1303</v>
      </c>
      <c r="D217" s="27" t="s">
        <v>500</v>
      </c>
      <c r="F217" s="122" t="s">
        <v>493</v>
      </c>
      <c r="G217" t="s">
        <v>1311</v>
      </c>
      <c r="H217" s="27" t="s">
        <v>37</v>
      </c>
      <c r="I217" s="27">
        <v>622</v>
      </c>
      <c r="J217"/>
      <c r="K217"/>
      <c r="L217"/>
      <c r="M217">
        <v>0.00619</v>
      </c>
      <c r="N217" s="27" t="s">
        <v>504</v>
      </c>
      <c r="P217" s="122" t="s">
        <v>493</v>
      </c>
      <c r="Q217" s="27" t="s">
        <v>1312</v>
      </c>
      <c r="R217" s="27">
        <v>622</v>
      </c>
      <c r="S217" s="27">
        <v>1517</v>
      </c>
      <c r="U217" s="27" t="s">
        <v>1313</v>
      </c>
      <c r="V217" t="s">
        <v>1311</v>
      </c>
      <c r="W217"/>
      <c r="X217" s="27" t="s">
        <v>37</v>
      </c>
      <c r="Y217" s="27" t="s">
        <v>216</v>
      </c>
      <c r="Z217">
        <v>0.281</v>
      </c>
      <c r="AA217">
        <v>0.492</v>
      </c>
      <c r="AB217">
        <v>65.7</v>
      </c>
      <c r="AC217">
        <v>0.00619</v>
      </c>
      <c r="AD217">
        <v>86</v>
      </c>
      <c r="AE217" t="s">
        <v>42</v>
      </c>
      <c r="AF217" t="s">
        <v>42</v>
      </c>
      <c r="AG217" t="s">
        <v>42</v>
      </c>
      <c r="AH217" t="s">
        <v>42</v>
      </c>
      <c r="AI217" s="27" t="s">
        <v>62</v>
      </c>
      <c r="AJ217" s="113" t="s">
        <v>63</v>
      </c>
      <c r="AK217" s="38" t="s">
        <v>45</v>
      </c>
    </row>
    <row r="218" spans="1:39">
      <c r="A218" s="41" t="s">
        <v>1314</v>
      </c>
      <c r="B218" s="42" t="s">
        <v>1315</v>
      </c>
      <c r="C218" s="27" t="s">
        <v>1316</v>
      </c>
      <c r="D218" s="27" t="s">
        <v>33</v>
      </c>
      <c r="F218" s="27" t="s">
        <v>1317</v>
      </c>
      <c r="G218" t="s">
        <v>1318</v>
      </c>
      <c r="H218" s="27" t="s">
        <v>79</v>
      </c>
      <c r="I218" s="27">
        <v>869</v>
      </c>
      <c r="J218"/>
      <c r="K218"/>
      <c r="L218"/>
      <c r="M218">
        <v>0.509</v>
      </c>
      <c r="N218" s="27" t="s">
        <v>38</v>
      </c>
      <c r="P218" s="27" t="s">
        <v>1317</v>
      </c>
      <c r="Q218" s="27" t="s">
        <v>1319</v>
      </c>
      <c r="R218" s="27">
        <v>869</v>
      </c>
      <c r="S218" s="27">
        <v>8272</v>
      </c>
      <c r="U218" s="27" t="s">
        <v>1320</v>
      </c>
      <c r="V218" t="s">
        <v>1318</v>
      </c>
      <c r="W218"/>
      <c r="X218" s="27" t="s">
        <v>79</v>
      </c>
      <c r="Y218" s="27" t="s">
        <v>216</v>
      </c>
      <c r="Z218">
        <v>0.516</v>
      </c>
      <c r="AA218">
        <v>0.76</v>
      </c>
      <c r="AB218">
        <v>72.4</v>
      </c>
      <c r="AC218">
        <v>0.509</v>
      </c>
      <c r="AD218" t="s">
        <v>42</v>
      </c>
      <c r="AE218">
        <v>13</v>
      </c>
      <c r="AF218">
        <v>15</v>
      </c>
      <c r="AG218">
        <v>28</v>
      </c>
      <c r="AH218">
        <v>34</v>
      </c>
      <c r="AI218" s="27" t="s">
        <v>62</v>
      </c>
      <c r="AJ218" s="113" t="s">
        <v>44</v>
      </c>
      <c r="AK218" s="38" t="s">
        <v>45</v>
      </c>
    </row>
    <row r="219" spans="1:39">
      <c r="A219" s="33" t="s">
        <v>1321</v>
      </c>
      <c r="B219" s="42" t="s">
        <v>1322</v>
      </c>
      <c r="C219" s="43" t="s">
        <v>1323</v>
      </c>
      <c r="D219" s="27" t="s">
        <v>33</v>
      </c>
      <c r="E219" s="27" t="s">
        <v>67</v>
      </c>
      <c r="F219" s="124" t="s">
        <v>609</v>
      </c>
      <c r="G219" t="s">
        <v>1324</v>
      </c>
      <c r="H219" s="27" t="s">
        <v>37</v>
      </c>
      <c r="I219" s="27">
        <v>4833</v>
      </c>
      <c r="J219"/>
      <c r="K219"/>
      <c r="L219"/>
      <c r="M219" s="123" t="s">
        <v>1325</v>
      </c>
      <c r="N219" s="27" t="s">
        <v>38</v>
      </c>
      <c r="O219" s="27" t="s">
        <v>67</v>
      </c>
      <c r="P219" s="124" t="s">
        <v>609</v>
      </c>
      <c r="Q219" s="27" t="s">
        <v>1326</v>
      </c>
      <c r="R219" s="27">
        <v>4833</v>
      </c>
      <c r="S219" s="27">
        <v>94953</v>
      </c>
      <c r="U219" s="27" t="s">
        <v>1327</v>
      </c>
      <c r="V219" t="s">
        <v>1324</v>
      </c>
      <c r="W219"/>
      <c r="X219" s="27" t="s">
        <v>37</v>
      </c>
      <c r="Y219" s="27" t="s">
        <v>41</v>
      </c>
      <c r="Z219">
        <v>0.026</v>
      </c>
      <c r="AA219" s="36">
        <v>0.218</v>
      </c>
      <c r="AB219">
        <v>82</v>
      </c>
      <c r="AC219" s="123" t="s">
        <v>1325</v>
      </c>
      <c r="AD219">
        <v>778</v>
      </c>
      <c r="AE219" t="s">
        <v>42</v>
      </c>
      <c r="AF219" t="s">
        <v>42</v>
      </c>
      <c r="AG219" t="s">
        <v>42</v>
      </c>
      <c r="AH219" t="s">
        <v>42</v>
      </c>
      <c r="AI219" s="27" t="s">
        <v>62</v>
      </c>
      <c r="AJ219" s="113" t="s">
        <v>52</v>
      </c>
      <c r="AK219" s="38" t="s">
        <v>45</v>
      </c>
    </row>
    <row r="220" spans="1:39">
      <c r="A220" s="33" t="s">
        <v>1328</v>
      </c>
      <c r="B220" s="42" t="s">
        <v>1322</v>
      </c>
      <c r="C220" s="43" t="s">
        <v>1323</v>
      </c>
      <c r="D220" s="27" t="s">
        <v>33</v>
      </c>
      <c r="E220" s="27" t="s">
        <v>1329</v>
      </c>
      <c r="F220" s="122" t="s">
        <v>374</v>
      </c>
      <c r="G220" t="s">
        <v>1330</v>
      </c>
      <c r="H220" s="27" t="s">
        <v>37</v>
      </c>
      <c r="I220" s="27">
        <v>3718</v>
      </c>
      <c r="J220"/>
      <c r="K220"/>
      <c r="L220"/>
      <c r="M220">
        <v>0.00513</v>
      </c>
      <c r="N220" s="27" t="s">
        <v>38</v>
      </c>
      <c r="O220" s="27" t="s">
        <v>1329</v>
      </c>
      <c r="P220" s="122" t="s">
        <v>374</v>
      </c>
      <c r="Q220" s="27" t="s">
        <v>1331</v>
      </c>
      <c r="R220" s="27">
        <v>3718</v>
      </c>
      <c r="S220" s="27">
        <v>60893</v>
      </c>
      <c r="U220" s="27" t="s">
        <v>1332</v>
      </c>
      <c r="V220" t="s">
        <v>1330</v>
      </c>
      <c r="W220"/>
      <c r="X220" s="27" t="s">
        <v>37</v>
      </c>
      <c r="Y220" s="27" t="s">
        <v>41</v>
      </c>
      <c r="Z220">
        <v>0.362</v>
      </c>
      <c r="AA220" s="36">
        <v>0.167</v>
      </c>
      <c r="AB220">
        <v>4</v>
      </c>
      <c r="AC220">
        <v>0.00513</v>
      </c>
      <c r="AD220">
        <v>40</v>
      </c>
      <c r="AE220" t="s">
        <v>42</v>
      </c>
      <c r="AF220" t="s">
        <v>42</v>
      </c>
      <c r="AG220" t="s">
        <v>42</v>
      </c>
      <c r="AH220" t="s">
        <v>42</v>
      </c>
      <c r="AI220" s="27" t="s">
        <v>62</v>
      </c>
      <c r="AJ220" s="113" t="s">
        <v>63</v>
      </c>
      <c r="AK220" s="38" t="s">
        <v>62</v>
      </c>
    </row>
    <row r="221" spans="1:39">
      <c r="A221" s="33" t="s">
        <v>1333</v>
      </c>
      <c r="B221" s="42" t="s">
        <v>1322</v>
      </c>
      <c r="C221" s="43" t="s">
        <v>1323</v>
      </c>
      <c r="D221" s="27" t="s">
        <v>33</v>
      </c>
      <c r="E221" s="27" t="s">
        <v>1334</v>
      </c>
      <c r="F221" s="122" t="s">
        <v>374</v>
      </c>
      <c r="G221" t="s">
        <v>1335</v>
      </c>
      <c r="H221" s="27" t="s">
        <v>37</v>
      </c>
      <c r="I221" s="27">
        <v>3718</v>
      </c>
      <c r="J221"/>
      <c r="K221"/>
      <c r="L221"/>
      <c r="M221">
        <v>0.0451</v>
      </c>
      <c r="N221" s="27" t="s">
        <v>38</v>
      </c>
      <c r="O221" s="27" t="s">
        <v>1334</v>
      </c>
      <c r="P221" s="122" t="s">
        <v>374</v>
      </c>
      <c r="Q221" s="27" t="s">
        <v>1331</v>
      </c>
      <c r="R221" s="27">
        <v>3718</v>
      </c>
      <c r="S221" s="27">
        <v>60893</v>
      </c>
      <c r="U221" s="27" t="s">
        <v>1336</v>
      </c>
      <c r="V221" t="s">
        <v>1335</v>
      </c>
      <c r="W221"/>
      <c r="X221" s="27" t="s">
        <v>37</v>
      </c>
      <c r="Y221" s="27" t="s">
        <v>41</v>
      </c>
      <c r="Z221">
        <v>0.698</v>
      </c>
      <c r="AA221" s="36">
        <v>0.801</v>
      </c>
      <c r="AB221">
        <v>94.2</v>
      </c>
      <c r="AC221">
        <v>0.0451</v>
      </c>
      <c r="AD221">
        <v>214</v>
      </c>
      <c r="AE221" t="s">
        <v>42</v>
      </c>
      <c r="AF221" t="s">
        <v>42</v>
      </c>
      <c r="AG221" t="s">
        <v>42</v>
      </c>
      <c r="AH221" t="s">
        <v>42</v>
      </c>
      <c r="AI221" s="27" t="s">
        <v>62</v>
      </c>
      <c r="AJ221" s="113" t="s">
        <v>63</v>
      </c>
      <c r="AK221" s="38" t="s">
        <v>45</v>
      </c>
    </row>
    <row r="222" spans="1:39">
      <c r="A222" s="41" t="s">
        <v>1337</v>
      </c>
      <c r="B222" s="42" t="s">
        <v>1338</v>
      </c>
      <c r="C222" s="27" t="s">
        <v>1339</v>
      </c>
      <c r="D222" s="27" t="s">
        <v>33</v>
      </c>
      <c r="F222" s="122" t="s">
        <v>1340</v>
      </c>
      <c r="G222" t="s">
        <v>1341</v>
      </c>
      <c r="H222" s="27" t="s">
        <v>37</v>
      </c>
      <c r="I222" s="27" t="s">
        <v>107</v>
      </c>
      <c r="J222"/>
      <c r="K222"/>
      <c r="L222"/>
      <c r="M222" s="123" t="s">
        <v>1342</v>
      </c>
      <c r="N222" s="27" t="s">
        <v>38</v>
      </c>
      <c r="P222" s="122" t="s">
        <v>1340</v>
      </c>
      <c r="Q222" s="27" t="s">
        <v>1343</v>
      </c>
      <c r="R222" s="27" t="s">
        <v>107</v>
      </c>
      <c r="S222" s="27">
        <v>115297</v>
      </c>
      <c r="U222" s="27" t="s">
        <v>1344</v>
      </c>
      <c r="V222" t="s">
        <v>1341</v>
      </c>
      <c r="W222"/>
      <c r="X222" s="27" t="s">
        <v>37</v>
      </c>
      <c r="Y222" s="27" t="s">
        <v>216</v>
      </c>
      <c r="Z222">
        <v>0.703</v>
      </c>
      <c r="AA222">
        <v>0.207</v>
      </c>
      <c r="AB222">
        <v>86.9</v>
      </c>
      <c r="AC222" s="123" t="s">
        <v>1342</v>
      </c>
      <c r="AD222">
        <v>4740</v>
      </c>
      <c r="AE222" t="s">
        <v>42</v>
      </c>
      <c r="AF222" t="s">
        <v>42</v>
      </c>
      <c r="AG222" t="s">
        <v>42</v>
      </c>
      <c r="AH222" t="s">
        <v>42</v>
      </c>
      <c r="AI222" s="27" t="s">
        <v>62</v>
      </c>
      <c r="AJ222" s="113" t="s">
        <v>111</v>
      </c>
      <c r="AK222" s="38" t="s">
        <v>45</v>
      </c>
    </row>
    <row r="223" spans="1:39">
      <c r="A223" s="41" t="s">
        <v>1345</v>
      </c>
      <c r="B223" s="42" t="s">
        <v>1346</v>
      </c>
      <c r="C223" s="43" t="s">
        <v>1347</v>
      </c>
      <c r="D223" s="34" t="s">
        <v>568</v>
      </c>
      <c r="F223" s="124" t="s">
        <v>1348</v>
      </c>
      <c r="G223" t="s">
        <v>1349</v>
      </c>
      <c r="H223" s="27" t="s">
        <v>37</v>
      </c>
      <c r="I223" s="27" t="s">
        <v>107</v>
      </c>
      <c r="J223" s="119">
        <v>1.449</v>
      </c>
      <c r="K223" s="119">
        <v>2.05</v>
      </c>
      <c r="L223" s="119" t="b">
        <v>0</v>
      </c>
      <c r="M223" s="123" t="s">
        <v>1350</v>
      </c>
      <c r="N223" s="34" t="s">
        <v>571</v>
      </c>
      <c r="P223" s="124" t="s">
        <v>1348</v>
      </c>
      <c r="Q223" s="27" t="s">
        <v>1351</v>
      </c>
      <c r="R223" s="27" t="s">
        <v>107</v>
      </c>
      <c r="S223" s="27">
        <v>39386</v>
      </c>
      <c r="U223" s="27" t="s">
        <v>1352</v>
      </c>
      <c r="V223" t="s">
        <v>1349</v>
      </c>
      <c r="W223"/>
      <c r="X223" s="27" t="s">
        <v>37</v>
      </c>
      <c r="Y223" s="27" t="s">
        <v>216</v>
      </c>
      <c r="Z223">
        <v>0.461</v>
      </c>
      <c r="AA223">
        <v>0.907</v>
      </c>
      <c r="AB223">
        <v>20.9</v>
      </c>
      <c r="AC223" s="123" t="s">
        <v>1350</v>
      </c>
      <c r="AD223">
        <v>936</v>
      </c>
      <c r="AE223" t="s">
        <v>42</v>
      </c>
      <c r="AF223" t="s">
        <v>42</v>
      </c>
      <c r="AG223" t="s">
        <v>42</v>
      </c>
      <c r="AH223" t="s">
        <v>42</v>
      </c>
      <c r="AI223" s="27" t="s">
        <v>62</v>
      </c>
      <c r="AJ223" s="113" t="s">
        <v>145</v>
      </c>
      <c r="AK223" s="38" t="s">
        <v>62</v>
      </c>
    </row>
    <row r="224" spans="1:39">
      <c r="A224" s="33" t="s">
        <v>1353</v>
      </c>
      <c r="B224" s="42" t="s">
        <v>1354</v>
      </c>
      <c r="C224" s="27" t="s">
        <v>1355</v>
      </c>
      <c r="D224" s="27" t="s">
        <v>568</v>
      </c>
      <c r="E224" s="27" t="s">
        <v>67</v>
      </c>
      <c r="F224" s="122" t="s">
        <v>1356</v>
      </c>
      <c r="G224" t="s">
        <v>1357</v>
      </c>
      <c r="H224" s="27" t="s">
        <v>37</v>
      </c>
      <c r="I224" s="27">
        <v>7117</v>
      </c>
      <c r="J224"/>
      <c r="K224"/>
      <c r="L224"/>
      <c r="M224" s="123" t="s">
        <v>1358</v>
      </c>
      <c r="N224" s="27" t="s">
        <v>571</v>
      </c>
      <c r="O224" s="27" t="s">
        <v>67</v>
      </c>
      <c r="P224" s="122" t="s">
        <v>1356</v>
      </c>
      <c r="Q224" s="27" t="s">
        <v>1359</v>
      </c>
      <c r="R224" s="27">
        <v>7117</v>
      </c>
      <c r="S224" s="27">
        <v>71212</v>
      </c>
      <c r="U224" s="27" t="s">
        <v>1360</v>
      </c>
      <c r="V224" t="s">
        <v>1357</v>
      </c>
      <c r="W224"/>
      <c r="X224" s="27" t="s">
        <v>37</v>
      </c>
      <c r="Y224" s="27" t="s">
        <v>41</v>
      </c>
      <c r="Z224">
        <v>0.035</v>
      </c>
      <c r="AA224" s="36">
        <v>0.377</v>
      </c>
      <c r="AB224">
        <v>69.8</v>
      </c>
      <c r="AC224" s="123" t="s">
        <v>1358</v>
      </c>
      <c r="AD224">
        <v>442</v>
      </c>
      <c r="AE224" t="s">
        <v>42</v>
      </c>
      <c r="AF224" t="s">
        <v>42</v>
      </c>
      <c r="AG224" t="s">
        <v>42</v>
      </c>
      <c r="AH224" t="s">
        <v>42</v>
      </c>
      <c r="AI224" s="27" t="s">
        <v>110</v>
      </c>
      <c r="AJ224" s="113" t="s">
        <v>52</v>
      </c>
      <c r="AK224" s="49" t="s">
        <v>45</v>
      </c>
    </row>
    <row r="225" spans="1:37">
      <c r="A225" s="41" t="s">
        <v>1361</v>
      </c>
      <c r="B225" s="42" t="s">
        <v>1362</v>
      </c>
      <c r="C225" s="43" t="s">
        <v>486</v>
      </c>
      <c r="D225" s="27" t="s">
        <v>438</v>
      </c>
      <c r="F225" s="124" t="s">
        <v>322</v>
      </c>
      <c r="G225" t="s">
        <v>1363</v>
      </c>
      <c r="H225" s="27" t="s">
        <v>79</v>
      </c>
      <c r="I225" s="27" t="s">
        <v>1364</v>
      </c>
      <c r="J225"/>
      <c r="K225"/>
      <c r="L225"/>
      <c r="M225">
        <v>0.00347</v>
      </c>
      <c r="N225" s="27" t="s">
        <v>442</v>
      </c>
      <c r="P225" s="124" t="s">
        <v>322</v>
      </c>
      <c r="Q225" s="27" t="s">
        <v>1365</v>
      </c>
      <c r="R225" s="27" t="s">
        <v>1364</v>
      </c>
      <c r="S225" s="27">
        <v>911272</v>
      </c>
      <c r="U225" s="27" t="s">
        <v>1366</v>
      </c>
      <c r="V225" t="s">
        <v>1363</v>
      </c>
      <c r="W225"/>
      <c r="X225" s="27" t="s">
        <v>79</v>
      </c>
      <c r="Y225" s="27" t="s">
        <v>216</v>
      </c>
      <c r="Z225">
        <v>0.0627</v>
      </c>
      <c r="AA225">
        <v>0.467</v>
      </c>
      <c r="AB225">
        <v>75.5</v>
      </c>
      <c r="AC225">
        <v>0.00347</v>
      </c>
      <c r="AD225">
        <v>162</v>
      </c>
      <c r="AE225" t="s">
        <v>42</v>
      </c>
      <c r="AF225" t="s">
        <v>42</v>
      </c>
      <c r="AG225" t="s">
        <v>42</v>
      </c>
      <c r="AH225" t="s">
        <v>42</v>
      </c>
      <c r="AI225" s="27" t="s">
        <v>62</v>
      </c>
      <c r="AJ225" s="113" t="s">
        <v>63</v>
      </c>
      <c r="AK225" s="38" t="s">
        <v>45</v>
      </c>
    </row>
    <row r="226" spans="1:37">
      <c r="A226" s="41" t="s">
        <v>1367</v>
      </c>
      <c r="B226" s="42" t="s">
        <v>1368</v>
      </c>
      <c r="C226" s="43" t="s">
        <v>1369</v>
      </c>
      <c r="D226" s="27" t="s">
        <v>33</v>
      </c>
      <c r="F226" s="124" t="s">
        <v>1370</v>
      </c>
      <c r="G226" s="123" t="s">
        <v>1371</v>
      </c>
      <c r="H226" s="27" t="s">
        <v>517</v>
      </c>
      <c r="I226" s="27">
        <v>58671</v>
      </c>
      <c r="J226"/>
      <c r="K226"/>
      <c r="L226"/>
      <c r="M226">
        <v>0.00372</v>
      </c>
      <c r="N226" s="27" t="s">
        <v>38</v>
      </c>
      <c r="P226" s="124" t="s">
        <v>1370</v>
      </c>
      <c r="Q226" s="27">
        <v>58671</v>
      </c>
      <c r="R226" s="27">
        <v>58671</v>
      </c>
      <c r="U226" s="122" t="s">
        <v>1372</v>
      </c>
      <c r="V226" s="123" t="s">
        <v>1371</v>
      </c>
      <c r="W226"/>
      <c r="X226" s="27" t="s">
        <v>517</v>
      </c>
      <c r="Y226" s="27" t="s">
        <v>216</v>
      </c>
      <c r="Z226">
        <v>0.263</v>
      </c>
      <c r="AA226">
        <v>0.905</v>
      </c>
      <c r="AB226">
        <v>75.5</v>
      </c>
      <c r="AC226">
        <v>0.00372</v>
      </c>
      <c r="AD226">
        <v>107</v>
      </c>
      <c r="AE226" t="s">
        <v>42</v>
      </c>
      <c r="AF226" t="s">
        <v>42</v>
      </c>
      <c r="AG226" t="s">
        <v>42</v>
      </c>
      <c r="AH226" t="s">
        <v>42</v>
      </c>
      <c r="AI226" s="27" t="s">
        <v>146</v>
      </c>
      <c r="AJ226" s="113" t="s">
        <v>63</v>
      </c>
      <c r="AK226" s="38" t="s">
        <v>45</v>
      </c>
    </row>
    <row r="227" spans="1:37">
      <c r="A227" s="41" t="s">
        <v>1373</v>
      </c>
      <c r="B227" s="42" t="s">
        <v>1374</v>
      </c>
      <c r="C227" s="27" t="s">
        <v>1375</v>
      </c>
      <c r="D227" s="27" t="s">
        <v>438</v>
      </c>
      <c r="F227" s="27" t="s">
        <v>493</v>
      </c>
      <c r="G227" t="s">
        <v>1376</v>
      </c>
      <c r="H227" s="27" t="s">
        <v>37</v>
      </c>
      <c r="I227" s="27" t="s">
        <v>107</v>
      </c>
      <c r="J227"/>
      <c r="K227"/>
      <c r="L227"/>
      <c r="M227">
        <v>0.0167</v>
      </c>
      <c r="N227" s="27" t="s">
        <v>442</v>
      </c>
      <c r="P227" s="27" t="s">
        <v>493</v>
      </c>
      <c r="Q227" s="27" t="s">
        <v>1377</v>
      </c>
      <c r="R227" s="27" t="s">
        <v>107</v>
      </c>
      <c r="S227" s="27">
        <v>692690</v>
      </c>
      <c r="U227" s="27" t="s">
        <v>1378</v>
      </c>
      <c r="V227" t="s">
        <v>1376</v>
      </c>
      <c r="W227"/>
      <c r="X227" s="27" t="s">
        <v>37</v>
      </c>
      <c r="Y227" s="27" t="s">
        <v>216</v>
      </c>
      <c r="Z227">
        <v>0.359</v>
      </c>
      <c r="AA227">
        <v>0.824</v>
      </c>
      <c r="AB227">
        <v>75.3</v>
      </c>
      <c r="AC227">
        <v>0.0167</v>
      </c>
      <c r="AD227">
        <v>72</v>
      </c>
      <c r="AE227" t="s">
        <v>42</v>
      </c>
      <c r="AF227" t="s">
        <v>42</v>
      </c>
      <c r="AG227" t="s">
        <v>42</v>
      </c>
      <c r="AH227" t="s">
        <v>42</v>
      </c>
      <c r="AI227" s="27" t="s">
        <v>62</v>
      </c>
      <c r="AJ227" s="113" t="s">
        <v>63</v>
      </c>
      <c r="AK227" s="38" t="s">
        <v>45</v>
      </c>
    </row>
    <row r="228" spans="1:37">
      <c r="A228" s="41" t="s">
        <v>1379</v>
      </c>
      <c r="B228" s="42" t="s">
        <v>1380</v>
      </c>
      <c r="C228" s="27" t="s">
        <v>1381</v>
      </c>
      <c r="D228" s="27" t="s">
        <v>520</v>
      </c>
      <c r="F228" s="122" t="s">
        <v>652</v>
      </c>
      <c r="G228" t="s">
        <v>1382</v>
      </c>
      <c r="H228" s="27" t="s">
        <v>79</v>
      </c>
      <c r="I228" s="27">
        <v>5819</v>
      </c>
      <c r="J228"/>
      <c r="K228"/>
      <c r="L228"/>
      <c r="M228">
        <v>0.979</v>
      </c>
      <c r="N228" s="27" t="s">
        <v>523</v>
      </c>
      <c r="P228" s="122" t="s">
        <v>652</v>
      </c>
      <c r="Q228" s="27" t="s">
        <v>1383</v>
      </c>
      <c r="R228" s="27">
        <v>5819</v>
      </c>
      <c r="S228" s="27">
        <v>87309</v>
      </c>
      <c r="U228" s="27" t="s">
        <v>1384</v>
      </c>
      <c r="V228" t="s">
        <v>1382</v>
      </c>
      <c r="W228"/>
      <c r="X228" s="27" t="s">
        <v>79</v>
      </c>
      <c r="Y228" s="27" t="s">
        <v>216</v>
      </c>
      <c r="Z228">
        <v>0.509</v>
      </c>
      <c r="AA228">
        <v>0.456</v>
      </c>
      <c r="AB228">
        <v>59.7</v>
      </c>
      <c r="AC228">
        <v>0.979</v>
      </c>
      <c r="AD228" t="s">
        <v>42</v>
      </c>
      <c r="AE228">
        <v>39289</v>
      </c>
      <c r="AF228">
        <v>33</v>
      </c>
      <c r="AG228" t="s">
        <v>159</v>
      </c>
      <c r="AH228">
        <v>60</v>
      </c>
      <c r="AI228" s="27" t="s">
        <v>110</v>
      </c>
      <c r="AJ228" s="113" t="s">
        <v>44</v>
      </c>
      <c r="AK228" s="38" t="s">
        <v>45</v>
      </c>
    </row>
    <row r="230" spans="1:37">
      <c r="S230" s="27">
        <f>SUM(S3:S228)</f>
        <v>252701506</v>
      </c>
    </row>
    <row r="232" spans="1:37">
      <c r="S232" s="27">
        <v>252701506</v>
      </c>
    </row>
  </sheetData>
  <autoFilter xmlns:etc="http://www.wps.cn/officeDocument/2017/etCustomData" ref="A1:AK228" etc:filterBottomFollowUsedRange="0"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8"/>
  <sheetViews>
    <sheetView zoomScale="70" zoomScaleNormal="70" workbookViewId="0">
      <selection activeCell="A211" sqref="$A211:$XFD211"/>
    </sheetView>
  </sheetViews>
  <sheetFormatPr defaultColWidth="8.69090909090909" defaultRowHeight="14"/>
  <cols>
    <col min="1" max="1" width="13.7636363636364" customWidth="1"/>
    <col min="2" max="2" width="35.0727272727273" style="60" customWidth="1"/>
    <col min="3" max="3" width="21.6909090909091" style="60" customWidth="1"/>
    <col min="4" max="4" width="53.4636363636364" style="27" customWidth="1"/>
    <col min="5" max="5" width="24" style="27" customWidth="1"/>
    <col min="6" max="6" width="34.7636363636364" style="27" customWidth="1"/>
    <col min="7" max="7" width="8.60909090909091" style="103" customWidth="1"/>
    <col min="8" max="8" width="7.60909090909091" customWidth="1"/>
    <col min="9" max="9" width="8.53636363636364" customWidth="1"/>
    <col min="10" max="10" width="31.3090909090909" customWidth="1"/>
    <col min="11" max="11" width="22.4636363636364" style="27" customWidth="1"/>
    <col min="12" max="12" width="18.9181818181818" style="27" customWidth="1"/>
    <col min="13" max="13" width="13.3818181818182" style="27" customWidth="1"/>
    <col min="14" max="14" width="11.3090909090909" style="27" customWidth="1"/>
    <col min="15" max="15" width="19.0727272727273" customWidth="1"/>
    <col min="16" max="16" width="20" customWidth="1"/>
    <col min="17" max="18" width="16.8454545454545" customWidth="1"/>
    <col min="19" max="19" width="12.8454545454545" customWidth="1"/>
    <col min="20" max="20" width="21.0727272727273" customWidth="1"/>
    <col min="21" max="21" width="17.5363636363636" customWidth="1"/>
    <col min="22" max="22" width="20.3818181818182" customWidth="1"/>
    <col min="23" max="23" width="31.3090909090909" customWidth="1"/>
    <col min="24" max="24" width="24.3818181818182" style="20" customWidth="1"/>
    <col min="25" max="25" width="29.4636363636364" style="20" customWidth="1"/>
    <col min="26" max="26" width="30.2272727272727" style="20" customWidth="1"/>
    <col min="27" max="27" width="34.6909090909091" style="20" customWidth="1"/>
    <col min="28" max="28" width="39.6090909090909" style="20" customWidth="1"/>
    <col min="29" max="29" width="22.3090909090909" style="20" customWidth="1"/>
    <col min="30" max="30" width="47.5363636363636" customWidth="1"/>
    <col min="31" max="31" width="15.0727272727273" customWidth="1"/>
  </cols>
  <sheetData>
    <row r="1" spans="1:31">
      <c r="A1" s="26" t="s">
        <v>0</v>
      </c>
      <c r="B1" s="32" t="s">
        <v>1</v>
      </c>
      <c r="C1" s="32" t="s">
        <v>2</v>
      </c>
      <c r="D1" s="26" t="s">
        <v>3</v>
      </c>
      <c r="E1" s="26" t="s">
        <v>13</v>
      </c>
      <c r="F1" s="26" t="s">
        <v>4</v>
      </c>
      <c r="G1" s="104" t="s">
        <v>1385</v>
      </c>
      <c r="H1" s="32" t="s">
        <v>1386</v>
      </c>
      <c r="I1" s="32" t="s">
        <v>1387</v>
      </c>
      <c r="J1" s="32" t="s">
        <v>1388</v>
      </c>
      <c r="K1" s="26" t="s">
        <v>14</v>
      </c>
      <c r="L1" s="31" t="s">
        <v>16</v>
      </c>
      <c r="M1" s="26" t="s">
        <v>18</v>
      </c>
      <c r="N1" s="26" t="s">
        <v>20</v>
      </c>
      <c r="O1" s="26" t="s">
        <v>12</v>
      </c>
      <c r="P1" s="26" t="s">
        <v>22</v>
      </c>
      <c r="Q1" s="26" t="s">
        <v>23</v>
      </c>
      <c r="R1" s="26" t="s">
        <v>24</v>
      </c>
      <c r="S1" s="26" t="s">
        <v>25</v>
      </c>
      <c r="T1" s="26" t="s">
        <v>21</v>
      </c>
      <c r="U1" s="32" t="s">
        <v>1389</v>
      </c>
      <c r="V1" s="32" t="s">
        <v>1390</v>
      </c>
      <c r="W1" s="32" t="s">
        <v>1388</v>
      </c>
      <c r="X1" s="32" t="s">
        <v>1391</v>
      </c>
      <c r="Y1" s="32" t="s">
        <v>1392</v>
      </c>
      <c r="Z1" s="32" t="s">
        <v>1393</v>
      </c>
      <c r="AA1" s="32" t="s">
        <v>1394</v>
      </c>
      <c r="AB1" s="32" t="s">
        <v>1395</v>
      </c>
      <c r="AC1" s="32" t="s">
        <v>1396</v>
      </c>
      <c r="AD1" s="32" t="s">
        <v>1397</v>
      </c>
      <c r="AE1" s="32" t="s">
        <v>28</v>
      </c>
    </row>
    <row r="2" spans="1:31">
      <c r="B2" s="32" t="s">
        <v>1398</v>
      </c>
      <c r="C2" s="32"/>
      <c r="G2" s="105"/>
      <c r="H2" s="106"/>
      <c r="I2" s="106"/>
      <c r="J2" s="106"/>
      <c r="O2" s="106"/>
      <c r="P2" s="27"/>
      <c r="Q2" s="27"/>
      <c r="R2" s="27"/>
      <c r="S2" s="27"/>
      <c r="T2" s="27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</row>
    <row r="3" spans="1:31">
      <c r="A3" s="33" t="s">
        <v>30</v>
      </c>
      <c r="B3" s="61" t="s">
        <v>1399</v>
      </c>
      <c r="C3" s="61" t="s">
        <v>32</v>
      </c>
      <c r="D3" s="27" t="s">
        <v>33</v>
      </c>
      <c r="E3" s="27" t="s">
        <v>38</v>
      </c>
      <c r="F3" s="27" t="s">
        <v>34</v>
      </c>
      <c r="G3" s="35">
        <v>11</v>
      </c>
      <c r="H3" s="38">
        <v>11</v>
      </c>
      <c r="I3" s="38">
        <v>0</v>
      </c>
      <c r="J3" s="38" t="s">
        <v>1400</v>
      </c>
      <c r="K3" s="27" t="s">
        <v>39</v>
      </c>
      <c r="L3" s="27" t="s">
        <v>40</v>
      </c>
      <c r="M3">
        <v>0.799</v>
      </c>
      <c r="N3">
        <v>5.6</v>
      </c>
      <c r="O3">
        <v>0.464</v>
      </c>
      <c r="P3">
        <v>72</v>
      </c>
      <c r="Q3">
        <v>12</v>
      </c>
      <c r="R3">
        <v>155</v>
      </c>
      <c r="S3">
        <v>22</v>
      </c>
      <c r="T3" t="s">
        <v>42</v>
      </c>
      <c r="U3" s="38"/>
      <c r="V3" s="38"/>
      <c r="W3" s="38">
        <v>1</v>
      </c>
      <c r="X3" s="106"/>
      <c r="Y3" s="106"/>
      <c r="Z3" s="106"/>
      <c r="AA3" s="106">
        <v>1</v>
      </c>
      <c r="AB3" s="106"/>
      <c r="AC3" s="106"/>
      <c r="AD3" s="38"/>
      <c r="AE3" s="38" t="s">
        <v>45</v>
      </c>
    </row>
    <row r="4" spans="1:31">
      <c r="A4" s="33" t="s">
        <v>46</v>
      </c>
      <c r="B4" s="61" t="s">
        <v>1399</v>
      </c>
      <c r="C4" s="61" t="s">
        <v>32</v>
      </c>
      <c r="D4" s="27" t="s">
        <v>33</v>
      </c>
      <c r="E4" s="27" t="s">
        <v>38</v>
      </c>
      <c r="F4" s="27" t="s">
        <v>47</v>
      </c>
      <c r="G4" s="35">
        <v>23</v>
      </c>
      <c r="H4" s="38">
        <v>23</v>
      </c>
      <c r="I4" s="38">
        <v>0</v>
      </c>
      <c r="J4" s="38" t="s">
        <v>1400</v>
      </c>
      <c r="K4" s="27" t="s">
        <v>50</v>
      </c>
      <c r="L4" s="27" t="s">
        <v>51</v>
      </c>
      <c r="M4">
        <v>0.405</v>
      </c>
      <c r="N4">
        <v>0</v>
      </c>
      <c r="O4">
        <v>0.000617</v>
      </c>
      <c r="P4" t="s">
        <v>42</v>
      </c>
      <c r="Q4" t="s">
        <v>42</v>
      </c>
      <c r="R4" t="s">
        <v>42</v>
      </c>
      <c r="S4" t="s">
        <v>42</v>
      </c>
      <c r="T4">
        <v>23</v>
      </c>
      <c r="U4" s="38"/>
      <c r="V4" s="38"/>
      <c r="W4" s="38">
        <v>1</v>
      </c>
      <c r="X4" s="106"/>
      <c r="Y4" s="106"/>
      <c r="Z4" s="106"/>
      <c r="AA4" s="106"/>
      <c r="AB4" s="106"/>
      <c r="AC4" s="106"/>
      <c r="AD4" s="38"/>
      <c r="AE4" s="38" t="s">
        <v>45</v>
      </c>
    </row>
    <row r="5" ht="14.05" customHeight="1" spans="1:31">
      <c r="A5" s="41" t="s">
        <v>53</v>
      </c>
      <c r="B5" s="61" t="s">
        <v>1399</v>
      </c>
      <c r="C5" s="61" t="s">
        <v>54</v>
      </c>
      <c r="D5" s="27" t="s">
        <v>55</v>
      </c>
      <c r="E5" s="27" t="s">
        <v>59</v>
      </c>
      <c r="G5" s="35">
        <v>23</v>
      </c>
      <c r="H5" s="38">
        <v>15</v>
      </c>
      <c r="I5" s="38">
        <v>8</v>
      </c>
      <c r="J5" s="38" t="s">
        <v>1401</v>
      </c>
      <c r="K5" s="27" t="s">
        <v>60</v>
      </c>
      <c r="L5" s="27" t="s">
        <v>61</v>
      </c>
      <c r="M5" s="40">
        <v>0.646</v>
      </c>
      <c r="N5">
        <v>42.2</v>
      </c>
      <c r="O5" s="40">
        <v>0.00403</v>
      </c>
      <c r="P5" t="s">
        <v>42</v>
      </c>
      <c r="Q5" t="s">
        <v>42</v>
      </c>
      <c r="R5" t="s">
        <v>42</v>
      </c>
      <c r="S5" t="s">
        <v>42</v>
      </c>
      <c r="T5">
        <v>75</v>
      </c>
      <c r="U5" s="38"/>
      <c r="V5" s="38"/>
      <c r="W5" s="38"/>
      <c r="X5" s="106"/>
      <c r="Y5" s="106"/>
      <c r="Z5" s="106"/>
      <c r="AA5" s="106"/>
      <c r="AB5" s="106"/>
      <c r="AC5" s="106"/>
      <c r="AD5" s="38"/>
      <c r="AE5" s="38" t="s">
        <v>62</v>
      </c>
    </row>
    <row r="6" spans="1:31">
      <c r="A6" s="33" t="s">
        <v>64</v>
      </c>
      <c r="B6" s="61" t="s">
        <v>75</v>
      </c>
      <c r="C6" s="61" t="s">
        <v>66</v>
      </c>
      <c r="D6" s="27" t="s">
        <v>33</v>
      </c>
      <c r="E6" s="27" t="s">
        <v>38</v>
      </c>
      <c r="F6" s="27" t="s">
        <v>67</v>
      </c>
      <c r="G6" s="35">
        <v>50</v>
      </c>
      <c r="H6" s="38">
        <v>27</v>
      </c>
      <c r="I6" s="38">
        <v>23</v>
      </c>
      <c r="J6" s="38" t="s">
        <v>1402</v>
      </c>
      <c r="K6" s="27" t="s">
        <v>72</v>
      </c>
      <c r="L6" s="27" t="s">
        <v>73</v>
      </c>
      <c r="M6">
        <v>0.0722</v>
      </c>
      <c r="N6">
        <v>81.8</v>
      </c>
      <c r="O6" s="123" t="s">
        <v>71</v>
      </c>
      <c r="P6" t="s">
        <v>42</v>
      </c>
      <c r="Q6" t="s">
        <v>42</v>
      </c>
      <c r="R6" t="s">
        <v>42</v>
      </c>
      <c r="S6" t="s">
        <v>42</v>
      </c>
      <c r="T6">
        <v>2016</v>
      </c>
      <c r="U6" s="38"/>
      <c r="V6" s="38"/>
      <c r="W6" s="38">
        <v>1</v>
      </c>
      <c r="X6" s="106"/>
      <c r="Y6" s="106">
        <v>1</v>
      </c>
      <c r="Z6" s="106"/>
      <c r="AA6" s="106"/>
      <c r="AB6" s="106"/>
      <c r="AC6" s="106"/>
      <c r="AD6" s="38" t="s">
        <v>1403</v>
      </c>
      <c r="AE6" s="49" t="s">
        <v>45</v>
      </c>
    </row>
    <row r="7" spans="1:31">
      <c r="A7" s="33" t="s">
        <v>74</v>
      </c>
      <c r="B7" s="61" t="s">
        <v>75</v>
      </c>
      <c r="C7" s="61" t="s">
        <v>76</v>
      </c>
      <c r="D7" s="27" t="s">
        <v>55</v>
      </c>
      <c r="E7" s="27" t="s">
        <v>59</v>
      </c>
      <c r="F7" s="27" t="s">
        <v>67</v>
      </c>
      <c r="G7" s="35">
        <v>7</v>
      </c>
      <c r="H7" s="38">
        <v>3</v>
      </c>
      <c r="I7" s="38">
        <v>4</v>
      </c>
      <c r="J7" s="38" t="s">
        <v>1404</v>
      </c>
      <c r="K7" s="27" t="s">
        <v>81</v>
      </c>
      <c r="L7" s="27" t="s">
        <v>82</v>
      </c>
      <c r="M7">
        <v>0.63</v>
      </c>
      <c r="N7">
        <v>62.1</v>
      </c>
      <c r="O7">
        <v>0.549</v>
      </c>
      <c r="P7">
        <v>50</v>
      </c>
      <c r="Q7">
        <v>9</v>
      </c>
      <c r="R7">
        <v>106</v>
      </c>
      <c r="S7">
        <v>16</v>
      </c>
      <c r="T7" t="s">
        <v>42</v>
      </c>
      <c r="U7" s="38"/>
      <c r="V7" s="38"/>
      <c r="W7" s="38">
        <v>1</v>
      </c>
      <c r="X7" s="106"/>
      <c r="Y7" s="106">
        <v>1</v>
      </c>
      <c r="Z7" s="106"/>
      <c r="AA7" s="106">
        <v>1</v>
      </c>
      <c r="AB7" s="106"/>
      <c r="AC7" s="106"/>
      <c r="AD7" s="38"/>
      <c r="AE7" s="38" t="s">
        <v>45</v>
      </c>
    </row>
    <row r="8" spans="1:31">
      <c r="A8" s="33" t="s">
        <v>84</v>
      </c>
      <c r="B8" s="61" t="s">
        <v>75</v>
      </c>
      <c r="C8" s="61" t="s">
        <v>76</v>
      </c>
      <c r="D8" s="27" t="s">
        <v>55</v>
      </c>
      <c r="E8" s="27" t="s">
        <v>59</v>
      </c>
      <c r="F8" s="27" t="s">
        <v>85</v>
      </c>
      <c r="G8" s="35">
        <v>7</v>
      </c>
      <c r="H8" s="38">
        <v>4</v>
      </c>
      <c r="I8" s="38">
        <v>3</v>
      </c>
      <c r="J8" s="38" t="s">
        <v>1404</v>
      </c>
      <c r="K8" s="27" t="s">
        <v>89</v>
      </c>
      <c r="L8" s="27" t="s">
        <v>90</v>
      </c>
      <c r="M8">
        <v>0.4</v>
      </c>
      <c r="N8">
        <v>0</v>
      </c>
      <c r="O8">
        <v>0.461</v>
      </c>
      <c r="P8">
        <v>58</v>
      </c>
      <c r="Q8">
        <v>28</v>
      </c>
      <c r="R8">
        <v>124</v>
      </c>
      <c r="S8">
        <v>58</v>
      </c>
      <c r="T8" t="s">
        <v>42</v>
      </c>
      <c r="U8" s="38"/>
      <c r="V8" s="38"/>
      <c r="W8" s="38">
        <v>1</v>
      </c>
      <c r="X8" s="106"/>
      <c r="Y8" s="106"/>
      <c r="Z8" s="106"/>
      <c r="AA8" s="106">
        <v>1</v>
      </c>
      <c r="AB8" s="106"/>
      <c r="AC8" s="106"/>
      <c r="AD8" s="38"/>
      <c r="AE8" s="38" t="s">
        <v>45</v>
      </c>
    </row>
    <row r="9" spans="1:31">
      <c r="A9" s="33" t="s">
        <v>91</v>
      </c>
      <c r="B9" s="61" t="s">
        <v>75</v>
      </c>
      <c r="C9" s="61" t="s">
        <v>76</v>
      </c>
      <c r="D9" s="27" t="s">
        <v>55</v>
      </c>
      <c r="E9" s="27" t="s">
        <v>59</v>
      </c>
      <c r="F9" s="27" t="s">
        <v>92</v>
      </c>
      <c r="G9" s="35">
        <v>7</v>
      </c>
      <c r="H9" s="38">
        <v>4</v>
      </c>
      <c r="I9" s="38">
        <v>3</v>
      </c>
      <c r="J9" s="38" t="s">
        <v>1404</v>
      </c>
      <c r="K9" s="27" t="s">
        <v>89</v>
      </c>
      <c r="L9" s="27" t="s">
        <v>94</v>
      </c>
      <c r="M9">
        <v>0.206</v>
      </c>
      <c r="N9">
        <v>24.4</v>
      </c>
      <c r="O9">
        <v>0.156</v>
      </c>
      <c r="P9">
        <v>18</v>
      </c>
      <c r="Q9">
        <v>5</v>
      </c>
      <c r="R9">
        <v>41</v>
      </c>
      <c r="S9">
        <v>9</v>
      </c>
      <c r="T9" t="s">
        <v>42</v>
      </c>
      <c r="U9" s="38"/>
      <c r="V9" s="38"/>
      <c r="W9" s="38">
        <v>1</v>
      </c>
      <c r="X9" s="106"/>
      <c r="Y9" s="106"/>
      <c r="Z9" s="106"/>
      <c r="AA9" s="106">
        <v>1</v>
      </c>
      <c r="AB9" s="106"/>
      <c r="AC9" s="106"/>
      <c r="AD9" s="38"/>
      <c r="AE9" s="38" t="s">
        <v>45</v>
      </c>
    </row>
    <row r="10" spans="1:31">
      <c r="A10" s="33" t="s">
        <v>95</v>
      </c>
      <c r="B10" s="61" t="s">
        <v>75</v>
      </c>
      <c r="C10" s="61" t="s">
        <v>76</v>
      </c>
      <c r="D10" s="27" t="s">
        <v>55</v>
      </c>
      <c r="E10" s="27" t="s">
        <v>59</v>
      </c>
      <c r="F10" s="27" t="s">
        <v>96</v>
      </c>
      <c r="G10" s="35">
        <v>6</v>
      </c>
      <c r="H10" s="38">
        <v>3</v>
      </c>
      <c r="I10" s="38">
        <v>3</v>
      </c>
      <c r="J10" s="38" t="s">
        <v>1404</v>
      </c>
      <c r="K10" s="27" t="s">
        <v>100</v>
      </c>
      <c r="L10" s="27" t="s">
        <v>101</v>
      </c>
      <c r="M10">
        <v>0.554</v>
      </c>
      <c r="N10">
        <v>0</v>
      </c>
      <c r="O10" s="123" t="s">
        <v>99</v>
      </c>
      <c r="P10" t="s">
        <v>42</v>
      </c>
      <c r="Q10" t="s">
        <v>42</v>
      </c>
      <c r="R10" t="s">
        <v>42</v>
      </c>
      <c r="S10" t="s">
        <v>42</v>
      </c>
      <c r="T10">
        <v>25</v>
      </c>
      <c r="U10" s="38">
        <v>40</v>
      </c>
      <c r="V10" s="38">
        <v>-15</v>
      </c>
      <c r="W10" s="38">
        <v>1</v>
      </c>
      <c r="X10" s="106">
        <v>1</v>
      </c>
      <c r="Y10" s="106"/>
      <c r="Z10" s="106"/>
      <c r="AA10" s="106"/>
      <c r="AB10" s="106"/>
      <c r="AC10" s="106"/>
      <c r="AD10" s="38"/>
      <c r="AE10" s="38" t="s">
        <v>45</v>
      </c>
    </row>
    <row r="11" spans="1:31">
      <c r="A11" s="33" t="s">
        <v>102</v>
      </c>
      <c r="B11" s="61" t="s">
        <v>1405</v>
      </c>
      <c r="C11" s="61" t="s">
        <v>104</v>
      </c>
      <c r="D11" s="27" t="s">
        <v>33</v>
      </c>
      <c r="E11" s="27" t="s">
        <v>38</v>
      </c>
      <c r="F11" s="27" t="s">
        <v>67</v>
      </c>
      <c r="G11" s="35">
        <v>46</v>
      </c>
      <c r="H11" s="38">
        <v>42</v>
      </c>
      <c r="I11" s="38">
        <v>4</v>
      </c>
      <c r="J11" s="38" t="s">
        <v>1406</v>
      </c>
      <c r="K11" s="27" t="s">
        <v>109</v>
      </c>
      <c r="L11" s="27" t="s">
        <v>106</v>
      </c>
      <c r="M11">
        <v>0.186</v>
      </c>
      <c r="N11">
        <v>55.9</v>
      </c>
      <c r="O11" s="123" t="s">
        <v>108</v>
      </c>
      <c r="P11" t="s">
        <v>42</v>
      </c>
      <c r="Q11" t="s">
        <v>42</v>
      </c>
      <c r="R11" t="s">
        <v>42</v>
      </c>
      <c r="S11" t="s">
        <v>42</v>
      </c>
      <c r="T11">
        <v>2757</v>
      </c>
      <c r="U11" s="38"/>
      <c r="V11" s="38"/>
      <c r="W11" s="38">
        <v>1</v>
      </c>
      <c r="X11" s="106"/>
      <c r="Y11" s="106"/>
      <c r="Z11" s="106"/>
      <c r="AA11" s="106"/>
      <c r="AB11" s="106"/>
      <c r="AC11" s="106"/>
      <c r="AD11" s="38" t="s">
        <v>1403</v>
      </c>
      <c r="AE11" s="49" t="s">
        <v>62</v>
      </c>
    </row>
    <row r="12" spans="1:31">
      <c r="A12" s="39" t="s">
        <v>112</v>
      </c>
      <c r="B12" s="61" t="s">
        <v>113</v>
      </c>
      <c r="C12" s="61" t="s">
        <v>114</v>
      </c>
      <c r="D12" s="27" t="s">
        <v>33</v>
      </c>
      <c r="E12" s="27" t="s">
        <v>38</v>
      </c>
      <c r="F12" s="27" t="s">
        <v>115</v>
      </c>
      <c r="G12" s="35">
        <v>6</v>
      </c>
      <c r="H12" s="38">
        <v>2</v>
      </c>
      <c r="I12" s="38">
        <v>4</v>
      </c>
      <c r="J12" s="38" t="s">
        <v>1401</v>
      </c>
      <c r="K12" s="27" t="s">
        <v>118</v>
      </c>
      <c r="L12" s="27" t="s">
        <v>119</v>
      </c>
      <c r="M12" s="40">
        <v>0.486</v>
      </c>
      <c r="N12" s="40">
        <v>6.2</v>
      </c>
      <c r="O12" s="40">
        <v>0.16</v>
      </c>
      <c r="P12" s="40">
        <v>6</v>
      </c>
      <c r="Q12" s="40">
        <v>46</v>
      </c>
      <c r="R12" s="40">
        <v>16</v>
      </c>
      <c r="S12" s="40">
        <v>74</v>
      </c>
      <c r="T12" s="27"/>
      <c r="U12" s="38"/>
      <c r="V12" s="38"/>
      <c r="W12" s="38"/>
      <c r="X12" s="106"/>
      <c r="Y12" s="106"/>
      <c r="Z12" s="106"/>
      <c r="AA12" s="106">
        <v>1</v>
      </c>
      <c r="AB12" s="106"/>
      <c r="AC12" s="106"/>
      <c r="AD12" s="38"/>
      <c r="AE12" s="38" t="s">
        <v>45</v>
      </c>
    </row>
    <row r="13" spans="1:31">
      <c r="A13" s="39" t="s">
        <v>120</v>
      </c>
      <c r="B13" s="61" t="s">
        <v>113</v>
      </c>
      <c r="C13" s="61" t="s">
        <v>114</v>
      </c>
      <c r="D13" s="27" t="s">
        <v>33</v>
      </c>
      <c r="E13" s="27" t="s">
        <v>38</v>
      </c>
      <c r="F13" s="27" t="s">
        <v>121</v>
      </c>
      <c r="G13" s="35">
        <v>7</v>
      </c>
      <c r="H13" s="38">
        <v>3</v>
      </c>
      <c r="I13" s="38">
        <v>4</v>
      </c>
      <c r="J13" s="38" t="s">
        <v>1401</v>
      </c>
      <c r="K13" s="27" t="s">
        <v>123</v>
      </c>
      <c r="L13" s="27" t="s">
        <v>124</v>
      </c>
      <c r="M13" s="40">
        <v>0.158</v>
      </c>
      <c r="N13" s="40">
        <v>84.8</v>
      </c>
      <c r="O13" s="40">
        <v>0.00351</v>
      </c>
      <c r="P13" s="27"/>
      <c r="Q13" s="27"/>
      <c r="R13" s="27"/>
      <c r="S13" s="27"/>
      <c r="T13" s="40">
        <v>264</v>
      </c>
      <c r="U13" s="38">
        <v>45</v>
      </c>
      <c r="V13" s="38">
        <v>219</v>
      </c>
      <c r="W13" s="38"/>
      <c r="X13" s="106"/>
      <c r="Y13" s="106">
        <v>1</v>
      </c>
      <c r="Z13" s="106"/>
      <c r="AA13" s="106"/>
      <c r="AB13" s="106"/>
      <c r="AC13" s="106"/>
      <c r="AD13" s="38"/>
      <c r="AE13" s="38" t="s">
        <v>45</v>
      </c>
    </row>
    <row r="14" spans="1:31">
      <c r="A14" s="33" t="s">
        <v>125</v>
      </c>
      <c r="B14" s="61" t="s">
        <v>1407</v>
      </c>
      <c r="C14" s="61" t="s">
        <v>127</v>
      </c>
      <c r="D14" s="27" t="s">
        <v>33</v>
      </c>
      <c r="E14" s="27" t="s">
        <v>38</v>
      </c>
      <c r="F14" s="27" t="s">
        <v>67</v>
      </c>
      <c r="G14" s="35">
        <v>55</v>
      </c>
      <c r="H14" s="38">
        <v>55</v>
      </c>
      <c r="I14" s="38">
        <v>0</v>
      </c>
      <c r="J14" s="38" t="s">
        <v>1401</v>
      </c>
      <c r="K14" s="27" t="s">
        <v>132</v>
      </c>
      <c r="L14" s="27" t="s">
        <v>133</v>
      </c>
      <c r="M14">
        <v>0.215</v>
      </c>
      <c r="N14">
        <v>89.6</v>
      </c>
      <c r="O14" s="123" t="s">
        <v>131</v>
      </c>
      <c r="P14" t="s">
        <v>42</v>
      </c>
      <c r="Q14" t="s">
        <v>42</v>
      </c>
      <c r="R14" t="s">
        <v>42</v>
      </c>
      <c r="S14" t="s">
        <v>42</v>
      </c>
      <c r="T14">
        <v>42821</v>
      </c>
      <c r="U14" s="38"/>
      <c r="V14" s="38"/>
      <c r="W14" s="38"/>
      <c r="X14" s="106"/>
      <c r="Y14" s="106">
        <v>1</v>
      </c>
      <c r="Z14" s="106"/>
      <c r="AA14" s="106"/>
      <c r="AB14" s="106"/>
      <c r="AC14" s="106"/>
      <c r="AD14" s="38" t="s">
        <v>1403</v>
      </c>
      <c r="AE14" s="49" t="s">
        <v>62</v>
      </c>
    </row>
    <row r="15" spans="1:31">
      <c r="A15" s="33" t="s">
        <v>134</v>
      </c>
      <c r="B15" s="61" t="s">
        <v>1407</v>
      </c>
      <c r="C15" s="61" t="s">
        <v>127</v>
      </c>
      <c r="D15" s="27" t="s">
        <v>33</v>
      </c>
      <c r="E15" s="27" t="s">
        <v>38</v>
      </c>
      <c r="F15" s="27" t="s">
        <v>85</v>
      </c>
      <c r="G15" s="35">
        <v>6</v>
      </c>
      <c r="H15" s="38">
        <v>6</v>
      </c>
      <c r="I15" s="38">
        <v>0</v>
      </c>
      <c r="J15" s="38" t="s">
        <v>1401</v>
      </c>
      <c r="K15" s="27" t="s">
        <v>137</v>
      </c>
      <c r="L15" s="27" t="s">
        <v>138</v>
      </c>
      <c r="M15">
        <v>0.21</v>
      </c>
      <c r="N15">
        <v>86.5</v>
      </c>
      <c r="O15">
        <v>0.0251</v>
      </c>
      <c r="P15" t="s">
        <v>42</v>
      </c>
      <c r="Q15" t="s">
        <v>42</v>
      </c>
      <c r="R15" t="s">
        <v>42</v>
      </c>
      <c r="S15" t="s">
        <v>42</v>
      </c>
      <c r="T15">
        <v>185</v>
      </c>
      <c r="U15" s="38">
        <v>40</v>
      </c>
      <c r="V15" s="38">
        <v>145</v>
      </c>
      <c r="W15" s="38"/>
      <c r="X15" s="106"/>
      <c r="Y15" s="106">
        <v>1</v>
      </c>
      <c r="Z15" s="106"/>
      <c r="AA15" s="106"/>
      <c r="AB15" s="106"/>
      <c r="AC15" s="106"/>
      <c r="AD15" s="38" t="s">
        <v>1403</v>
      </c>
      <c r="AE15" s="49" t="s">
        <v>62</v>
      </c>
    </row>
    <row r="16" spans="1:31">
      <c r="A16" s="33" t="s">
        <v>139</v>
      </c>
      <c r="B16" s="61" t="s">
        <v>1407</v>
      </c>
      <c r="C16" s="61" t="s">
        <v>127</v>
      </c>
      <c r="D16" s="27" t="s">
        <v>33</v>
      </c>
      <c r="E16" s="27" t="s">
        <v>38</v>
      </c>
      <c r="F16" s="27" t="s">
        <v>92</v>
      </c>
      <c r="G16" s="35">
        <v>7</v>
      </c>
      <c r="H16" s="38">
        <v>7</v>
      </c>
      <c r="I16" s="38">
        <v>0</v>
      </c>
      <c r="J16" s="38" t="s">
        <v>1401</v>
      </c>
      <c r="K16" s="27" t="s">
        <v>143</v>
      </c>
      <c r="L16" s="27" t="s">
        <v>144</v>
      </c>
      <c r="M16">
        <v>0.74</v>
      </c>
      <c r="N16">
        <v>11.2</v>
      </c>
      <c r="O16" s="123" t="s">
        <v>142</v>
      </c>
      <c r="P16" t="s">
        <v>42</v>
      </c>
      <c r="Q16" t="s">
        <v>42</v>
      </c>
      <c r="R16" t="s">
        <v>42</v>
      </c>
      <c r="S16" t="s">
        <v>42</v>
      </c>
      <c r="T16">
        <v>992</v>
      </c>
      <c r="U16" s="38">
        <v>45</v>
      </c>
      <c r="V16" s="38">
        <v>947</v>
      </c>
      <c r="W16" s="38"/>
      <c r="X16" s="106"/>
      <c r="Y16" s="106"/>
      <c r="Z16" s="106"/>
      <c r="AA16" s="106"/>
      <c r="AB16" s="106"/>
      <c r="AC16" s="106">
        <v>1</v>
      </c>
      <c r="AD16" s="38" t="s">
        <v>1403</v>
      </c>
      <c r="AE16" s="49" t="s">
        <v>146</v>
      </c>
    </row>
    <row r="17" spans="1:31">
      <c r="A17" s="39" t="s">
        <v>147</v>
      </c>
      <c r="B17" s="61" t="s">
        <v>1407</v>
      </c>
      <c r="C17" s="61" t="s">
        <v>127</v>
      </c>
      <c r="D17" s="27" t="s">
        <v>33</v>
      </c>
      <c r="E17" s="27" t="s">
        <v>38</v>
      </c>
      <c r="F17" s="27" t="s">
        <v>148</v>
      </c>
      <c r="G17" s="35">
        <v>4</v>
      </c>
      <c r="H17" s="38">
        <v>4</v>
      </c>
      <c r="I17" s="38">
        <v>0</v>
      </c>
      <c r="J17" s="38" t="s">
        <v>1401</v>
      </c>
      <c r="K17" s="27" t="s">
        <v>143</v>
      </c>
      <c r="L17" s="27" t="s">
        <v>151</v>
      </c>
      <c r="M17" s="40">
        <v>0.509</v>
      </c>
      <c r="N17" s="40">
        <v>78.6</v>
      </c>
      <c r="O17" s="40">
        <v>0.00942</v>
      </c>
      <c r="P17" s="27"/>
      <c r="Q17" s="27"/>
      <c r="R17" s="27"/>
      <c r="S17" s="27"/>
      <c r="T17" s="40">
        <v>207</v>
      </c>
      <c r="U17" s="38">
        <v>30</v>
      </c>
      <c r="V17" s="38">
        <v>177</v>
      </c>
      <c r="W17" s="38"/>
      <c r="X17" s="106"/>
      <c r="Y17" s="106"/>
      <c r="Z17" s="106"/>
      <c r="AA17" s="106"/>
      <c r="AB17" s="106"/>
      <c r="AC17" s="106">
        <v>1</v>
      </c>
      <c r="AD17" s="38" t="s">
        <v>1403</v>
      </c>
      <c r="AE17" s="49" t="s">
        <v>146</v>
      </c>
    </row>
    <row r="18" spans="1:31">
      <c r="A18" s="41" t="s">
        <v>152</v>
      </c>
      <c r="B18" s="61" t="s">
        <v>1407</v>
      </c>
      <c r="C18" s="61" t="s">
        <v>154</v>
      </c>
      <c r="D18" s="27" t="s">
        <v>55</v>
      </c>
      <c r="E18" s="27" t="s">
        <v>59</v>
      </c>
      <c r="G18" s="35">
        <v>9</v>
      </c>
      <c r="H18" s="38">
        <v>9</v>
      </c>
      <c r="I18" s="38">
        <v>0</v>
      </c>
      <c r="J18" s="38" t="s">
        <v>1401</v>
      </c>
      <c r="K18" s="27" t="s">
        <v>157</v>
      </c>
      <c r="L18" s="27" t="s">
        <v>158</v>
      </c>
      <c r="M18">
        <v>0.222</v>
      </c>
      <c r="N18">
        <v>7</v>
      </c>
      <c r="O18">
        <v>0.131</v>
      </c>
      <c r="P18">
        <v>0</v>
      </c>
      <c r="Q18" t="s">
        <v>159</v>
      </c>
      <c r="R18">
        <v>2</v>
      </c>
      <c r="S18">
        <v>24</v>
      </c>
      <c r="T18" t="s">
        <v>42</v>
      </c>
      <c r="U18" s="38"/>
      <c r="V18" s="38"/>
      <c r="W18" s="38"/>
      <c r="X18" s="106">
        <v>1</v>
      </c>
      <c r="Y18" s="106"/>
      <c r="Z18" s="106"/>
      <c r="AA18" s="106">
        <v>1</v>
      </c>
      <c r="AB18" s="106"/>
      <c r="AC18" s="106"/>
      <c r="AD18" s="38"/>
      <c r="AE18" s="38" t="s">
        <v>45</v>
      </c>
    </row>
    <row r="19" spans="1:31">
      <c r="A19" s="39" t="s">
        <v>160</v>
      </c>
      <c r="B19" s="61" t="s">
        <v>161</v>
      </c>
      <c r="C19" s="61" t="s">
        <v>154</v>
      </c>
      <c r="D19" s="27" t="s">
        <v>55</v>
      </c>
      <c r="E19" s="27" t="s">
        <v>59</v>
      </c>
      <c r="G19" s="35">
        <v>44</v>
      </c>
      <c r="H19" s="38">
        <v>43</v>
      </c>
      <c r="I19" s="38">
        <v>1</v>
      </c>
      <c r="J19" s="38" t="s">
        <v>1401</v>
      </c>
      <c r="K19" s="27">
        <v>71663</v>
      </c>
      <c r="L19" s="125" t="s">
        <v>165</v>
      </c>
      <c r="M19" s="40">
        <v>0.769</v>
      </c>
      <c r="N19" s="40">
        <v>100</v>
      </c>
      <c r="O19" s="40">
        <v>1.83e-6</v>
      </c>
      <c r="P19" s="27"/>
      <c r="Q19" s="27"/>
      <c r="R19" s="27"/>
      <c r="S19" s="27"/>
      <c r="T19" s="40">
        <v>11333011</v>
      </c>
      <c r="U19" s="38"/>
      <c r="V19" s="38"/>
      <c r="W19" s="38"/>
      <c r="X19" s="106"/>
      <c r="Y19" s="106">
        <v>1</v>
      </c>
      <c r="Z19" s="106"/>
      <c r="AA19" s="106">
        <v>1</v>
      </c>
      <c r="AB19" s="106"/>
      <c r="AC19" s="106"/>
      <c r="AD19" s="38"/>
      <c r="AE19" s="38" t="s">
        <v>45</v>
      </c>
    </row>
    <row r="20" spans="1:31">
      <c r="A20" s="33" t="s">
        <v>166</v>
      </c>
      <c r="B20" s="61" t="s">
        <v>1408</v>
      </c>
      <c r="C20" s="61" t="s">
        <v>168</v>
      </c>
      <c r="D20" s="27" t="s">
        <v>33</v>
      </c>
      <c r="E20" s="27" t="s">
        <v>38</v>
      </c>
      <c r="F20" s="27" t="s">
        <v>67</v>
      </c>
      <c r="G20" s="35">
        <v>52</v>
      </c>
      <c r="H20" s="38">
        <v>29</v>
      </c>
      <c r="I20" s="38">
        <v>23</v>
      </c>
      <c r="J20" s="38" t="s">
        <v>1401</v>
      </c>
      <c r="K20" s="27" t="s">
        <v>173</v>
      </c>
      <c r="L20" s="27" t="s">
        <v>174</v>
      </c>
      <c r="M20">
        <v>0.156</v>
      </c>
      <c r="N20">
        <v>97.7</v>
      </c>
      <c r="O20" s="123" t="s">
        <v>172</v>
      </c>
      <c r="P20" t="s">
        <v>42</v>
      </c>
      <c r="Q20" t="s">
        <v>42</v>
      </c>
      <c r="R20" t="s">
        <v>42</v>
      </c>
      <c r="S20" t="s">
        <v>42</v>
      </c>
      <c r="T20">
        <v>119726</v>
      </c>
      <c r="U20" s="38"/>
      <c r="V20" s="38"/>
      <c r="W20" s="38"/>
      <c r="X20" s="106"/>
      <c r="Y20" s="106">
        <v>1</v>
      </c>
      <c r="Z20" s="106"/>
      <c r="AA20" s="106"/>
      <c r="AB20" s="106"/>
      <c r="AC20" s="106">
        <v>1</v>
      </c>
      <c r="AD20" s="38"/>
      <c r="AE20" s="49" t="s">
        <v>62</v>
      </c>
    </row>
    <row r="21" spans="1:31">
      <c r="A21" s="33" t="s">
        <v>175</v>
      </c>
      <c r="B21" s="61" t="s">
        <v>1408</v>
      </c>
      <c r="C21" s="107" t="s">
        <v>32</v>
      </c>
      <c r="D21" s="27" t="s">
        <v>33</v>
      </c>
      <c r="E21" s="27" t="s">
        <v>38</v>
      </c>
      <c r="F21" s="27" t="s">
        <v>34</v>
      </c>
      <c r="G21" s="35">
        <v>14</v>
      </c>
      <c r="H21" s="38">
        <v>14</v>
      </c>
      <c r="I21" s="38">
        <v>0</v>
      </c>
      <c r="J21" s="38" t="s">
        <v>1400</v>
      </c>
      <c r="K21" s="27" t="s">
        <v>178</v>
      </c>
      <c r="L21" s="27" t="s">
        <v>179</v>
      </c>
      <c r="M21">
        <v>0.151</v>
      </c>
      <c r="N21">
        <v>21.9</v>
      </c>
      <c r="O21">
        <v>0.735</v>
      </c>
      <c r="P21">
        <v>446</v>
      </c>
      <c r="Q21">
        <v>18</v>
      </c>
      <c r="R21">
        <v>922</v>
      </c>
      <c r="S21">
        <v>26</v>
      </c>
      <c r="T21" t="s">
        <v>42</v>
      </c>
      <c r="U21" s="38"/>
      <c r="V21" s="38"/>
      <c r="W21" s="38">
        <v>1</v>
      </c>
      <c r="X21" s="106"/>
      <c r="Y21" s="106"/>
      <c r="Z21" s="106"/>
      <c r="AA21" s="106">
        <v>1</v>
      </c>
      <c r="AB21" s="106"/>
      <c r="AC21" s="106"/>
      <c r="AD21" s="38"/>
      <c r="AE21" s="38" t="s">
        <v>45</v>
      </c>
    </row>
    <row r="22" spans="1:31">
      <c r="A22" s="33" t="s">
        <v>180</v>
      </c>
      <c r="B22" s="61" t="s">
        <v>1408</v>
      </c>
      <c r="C22" s="107" t="s">
        <v>32</v>
      </c>
      <c r="D22" s="27" t="s">
        <v>33</v>
      </c>
      <c r="E22" s="27" t="s">
        <v>38</v>
      </c>
      <c r="F22" s="27" t="s">
        <v>47</v>
      </c>
      <c r="G22" s="35">
        <v>26</v>
      </c>
      <c r="H22" s="38">
        <v>26</v>
      </c>
      <c r="I22" s="38">
        <v>0</v>
      </c>
      <c r="J22" s="38" t="s">
        <v>1400</v>
      </c>
      <c r="K22" s="27" t="s">
        <v>184</v>
      </c>
      <c r="L22" s="27" t="s">
        <v>185</v>
      </c>
      <c r="M22">
        <v>0.114</v>
      </c>
      <c r="N22">
        <v>79</v>
      </c>
      <c r="O22" s="123" t="s">
        <v>183</v>
      </c>
      <c r="P22" t="s">
        <v>42</v>
      </c>
      <c r="Q22" t="s">
        <v>42</v>
      </c>
      <c r="R22" t="s">
        <v>42</v>
      </c>
      <c r="S22" t="s">
        <v>42</v>
      </c>
      <c r="T22">
        <v>4289</v>
      </c>
      <c r="U22" s="38"/>
      <c r="V22" s="38"/>
      <c r="W22" s="38">
        <v>1</v>
      </c>
      <c r="X22" s="106"/>
      <c r="Y22" s="106">
        <v>1</v>
      </c>
      <c r="Z22" s="106"/>
      <c r="AA22" s="106"/>
      <c r="AB22" s="106"/>
      <c r="AC22" s="106"/>
      <c r="AD22" s="38"/>
      <c r="AE22" s="38" t="s">
        <v>45</v>
      </c>
    </row>
    <row r="23" spans="1:31">
      <c r="A23" s="39" t="s">
        <v>186</v>
      </c>
      <c r="B23" s="61" t="s">
        <v>1408</v>
      </c>
      <c r="C23" s="61" t="s">
        <v>168</v>
      </c>
      <c r="D23" s="27" t="s">
        <v>33</v>
      </c>
      <c r="E23" s="27" t="s">
        <v>38</v>
      </c>
      <c r="F23" s="27" t="s">
        <v>187</v>
      </c>
      <c r="G23" s="35">
        <v>20</v>
      </c>
      <c r="H23" s="38">
        <v>11</v>
      </c>
      <c r="I23" s="38">
        <v>9</v>
      </c>
      <c r="J23" s="38" t="s">
        <v>1401</v>
      </c>
      <c r="K23" s="27" t="s">
        <v>190</v>
      </c>
      <c r="L23" s="27" t="s">
        <v>191</v>
      </c>
      <c r="M23" s="40">
        <v>0.035</v>
      </c>
      <c r="N23" s="40">
        <v>84.9</v>
      </c>
      <c r="O23" s="40">
        <v>1.67e-14</v>
      </c>
      <c r="P23" s="27"/>
      <c r="Q23" s="27"/>
      <c r="R23" s="27"/>
      <c r="S23" s="27"/>
      <c r="T23" s="27"/>
      <c r="U23" s="38"/>
      <c r="V23" s="38"/>
      <c r="W23" s="38"/>
      <c r="X23" s="106">
        <v>1</v>
      </c>
      <c r="Y23" s="106">
        <v>1</v>
      </c>
      <c r="Z23" s="106"/>
      <c r="AA23" s="106"/>
      <c r="AB23" s="106"/>
      <c r="AC23" s="106"/>
      <c r="AD23" s="38"/>
      <c r="AE23" s="38" t="s">
        <v>45</v>
      </c>
    </row>
    <row r="24" spans="1:31">
      <c r="A24" s="39" t="s">
        <v>192</v>
      </c>
      <c r="B24" s="61" t="s">
        <v>1408</v>
      </c>
      <c r="C24" s="61" t="s">
        <v>168</v>
      </c>
      <c r="D24" s="27" t="s">
        <v>33</v>
      </c>
      <c r="E24" s="27" t="s">
        <v>38</v>
      </c>
      <c r="F24" s="27" t="s">
        <v>193</v>
      </c>
      <c r="G24" s="35">
        <v>21</v>
      </c>
      <c r="H24" s="38">
        <v>11</v>
      </c>
      <c r="I24" s="38">
        <v>10</v>
      </c>
      <c r="J24" s="38" t="s">
        <v>1401</v>
      </c>
      <c r="K24" s="27" t="s">
        <v>196</v>
      </c>
      <c r="L24" s="27" t="s">
        <v>197</v>
      </c>
      <c r="M24" s="40">
        <v>0.172</v>
      </c>
      <c r="N24" s="40">
        <v>95.7</v>
      </c>
      <c r="O24" s="40">
        <v>8.52e-15</v>
      </c>
      <c r="P24" s="27"/>
      <c r="Q24" s="27"/>
      <c r="R24" s="27"/>
      <c r="S24" s="27"/>
      <c r="T24" s="40">
        <v>22856</v>
      </c>
      <c r="U24" s="38"/>
      <c r="V24" s="38"/>
      <c r="W24" s="38"/>
      <c r="X24" s="106"/>
      <c r="Y24" s="106">
        <v>1</v>
      </c>
      <c r="Z24" s="106"/>
      <c r="AA24" s="106"/>
      <c r="AB24" s="106"/>
      <c r="AC24" s="106">
        <v>1</v>
      </c>
      <c r="AD24" s="38"/>
      <c r="AE24" s="49" t="s">
        <v>62</v>
      </c>
    </row>
    <row r="25" spans="1:31">
      <c r="A25" s="39" t="s">
        <v>198</v>
      </c>
      <c r="B25" s="61" t="s">
        <v>1408</v>
      </c>
      <c r="C25" s="61" t="s">
        <v>1409</v>
      </c>
      <c r="D25" s="27" t="s">
        <v>55</v>
      </c>
      <c r="E25" s="27" t="s">
        <v>59</v>
      </c>
      <c r="G25" s="35">
        <v>17</v>
      </c>
      <c r="H25" s="38" t="s">
        <v>43</v>
      </c>
      <c r="I25" s="38" t="s">
        <v>43</v>
      </c>
      <c r="J25" s="38" t="s">
        <v>1404</v>
      </c>
      <c r="K25" s="27" t="s">
        <v>202</v>
      </c>
      <c r="L25" s="27" t="s">
        <v>203</v>
      </c>
      <c r="M25" s="40">
        <v>0.245</v>
      </c>
      <c r="N25" s="40">
        <v>0</v>
      </c>
      <c r="O25" s="40">
        <v>0.0574</v>
      </c>
      <c r="P25" s="40">
        <v>0</v>
      </c>
      <c r="Q25" s="40">
        <v>0</v>
      </c>
      <c r="R25" s="40">
        <v>1</v>
      </c>
      <c r="S25" s="40">
        <v>1</v>
      </c>
      <c r="T25" s="27"/>
      <c r="U25" s="38"/>
      <c r="V25" s="38"/>
      <c r="W25" s="38">
        <v>1</v>
      </c>
      <c r="X25" s="106"/>
      <c r="Y25" s="106"/>
      <c r="Z25" s="106"/>
      <c r="AA25" s="106">
        <v>1</v>
      </c>
      <c r="AB25" s="106"/>
      <c r="AC25" s="106"/>
      <c r="AD25" s="38"/>
      <c r="AE25" s="38" t="s">
        <v>45</v>
      </c>
    </row>
    <row r="26" spans="1:31">
      <c r="A26" s="39" t="s">
        <v>204</v>
      </c>
      <c r="B26" s="61" t="s">
        <v>205</v>
      </c>
      <c r="C26" s="61" t="s">
        <v>154</v>
      </c>
      <c r="D26" s="27" t="s">
        <v>55</v>
      </c>
      <c r="E26" s="27" t="s">
        <v>59</v>
      </c>
      <c r="G26" s="35">
        <v>17</v>
      </c>
      <c r="H26" s="38">
        <v>17</v>
      </c>
      <c r="I26" s="38">
        <v>0</v>
      </c>
      <c r="J26" s="38" t="s">
        <v>1401</v>
      </c>
      <c r="K26" s="27" t="s">
        <v>209</v>
      </c>
      <c r="L26" s="44" t="s">
        <v>210</v>
      </c>
      <c r="M26" s="40">
        <v>0.133</v>
      </c>
      <c r="N26" s="40">
        <v>70.1</v>
      </c>
      <c r="O26" s="40">
        <v>0.758</v>
      </c>
      <c r="P26" s="40">
        <v>560</v>
      </c>
      <c r="Q26" s="40">
        <v>40</v>
      </c>
      <c r="R26" s="40">
        <v>1157</v>
      </c>
      <c r="S26" s="40">
        <v>63</v>
      </c>
      <c r="T26" s="27"/>
      <c r="U26" s="38"/>
      <c r="V26" s="38"/>
      <c r="W26" s="38"/>
      <c r="X26" s="106"/>
      <c r="Y26" s="106">
        <v>1</v>
      </c>
      <c r="Z26" s="106"/>
      <c r="AA26" s="106">
        <v>1</v>
      </c>
      <c r="AB26" s="106"/>
      <c r="AC26" s="106"/>
      <c r="AD26" s="38"/>
      <c r="AE26" s="38" t="s">
        <v>45</v>
      </c>
    </row>
    <row r="27" spans="1:31">
      <c r="A27" s="41" t="s">
        <v>211</v>
      </c>
      <c r="B27" s="61" t="s">
        <v>212</v>
      </c>
      <c r="C27" s="61" t="s">
        <v>168</v>
      </c>
      <c r="D27" s="27" t="s">
        <v>33</v>
      </c>
      <c r="E27" s="27" t="s">
        <v>38</v>
      </c>
      <c r="F27" s="27" t="s">
        <v>67</v>
      </c>
      <c r="G27" s="35">
        <v>40</v>
      </c>
      <c r="H27" s="38">
        <v>20</v>
      </c>
      <c r="I27" s="38">
        <v>20</v>
      </c>
      <c r="J27" s="38" t="s">
        <v>1401</v>
      </c>
      <c r="K27" s="27" t="s">
        <v>215</v>
      </c>
      <c r="L27" s="27" t="s">
        <v>1410</v>
      </c>
      <c r="M27" s="48">
        <v>0.0898</v>
      </c>
      <c r="N27">
        <v>99.6</v>
      </c>
      <c r="O27">
        <v>0.000933</v>
      </c>
      <c r="P27" t="s">
        <v>42</v>
      </c>
      <c r="Q27" t="s">
        <v>42</v>
      </c>
      <c r="R27" t="s">
        <v>42</v>
      </c>
      <c r="S27" t="s">
        <v>42</v>
      </c>
      <c r="T27">
        <v>13596</v>
      </c>
      <c r="U27" s="38"/>
      <c r="V27" s="38"/>
      <c r="W27" s="38"/>
      <c r="X27" s="106"/>
      <c r="Y27" s="106">
        <v>1</v>
      </c>
      <c r="Z27" s="106"/>
      <c r="AA27" s="106">
        <v>1</v>
      </c>
      <c r="AB27" s="106"/>
      <c r="AC27" s="106"/>
      <c r="AD27" s="38"/>
      <c r="AE27" s="49" t="s">
        <v>45</v>
      </c>
    </row>
    <row r="28" spans="1:31">
      <c r="A28" s="39" t="s">
        <v>217</v>
      </c>
      <c r="B28" s="61" t="s">
        <v>212</v>
      </c>
      <c r="C28" s="61" t="s">
        <v>168</v>
      </c>
      <c r="D28" s="27" t="s">
        <v>33</v>
      </c>
      <c r="E28" s="27" t="s">
        <v>38</v>
      </c>
      <c r="F28" s="27" t="s">
        <v>187</v>
      </c>
      <c r="G28" s="35">
        <v>7</v>
      </c>
      <c r="H28" s="38" t="s">
        <v>43</v>
      </c>
      <c r="I28" s="38" t="s">
        <v>43</v>
      </c>
      <c r="J28" s="38" t="s">
        <v>1401</v>
      </c>
      <c r="K28" s="27">
        <v>3691</v>
      </c>
      <c r="L28" s="44" t="s">
        <v>220</v>
      </c>
      <c r="M28" s="40">
        <v>0.224</v>
      </c>
      <c r="N28" s="40">
        <v>64</v>
      </c>
      <c r="O28" s="40">
        <v>0.0056</v>
      </c>
      <c r="P28" s="27"/>
      <c r="Q28" s="27"/>
      <c r="R28" s="27"/>
      <c r="S28" s="27"/>
      <c r="T28" s="40">
        <v>88</v>
      </c>
      <c r="U28" s="38">
        <f>5*7+10</f>
        <v>45</v>
      </c>
      <c r="V28" s="38">
        <f>88-45</f>
        <v>43</v>
      </c>
      <c r="W28" s="38"/>
      <c r="X28" s="106"/>
      <c r="Y28" s="106">
        <v>1</v>
      </c>
      <c r="Z28" s="106"/>
      <c r="AA28" s="106"/>
      <c r="AB28" s="106"/>
      <c r="AC28" s="106"/>
      <c r="AD28" s="38"/>
      <c r="AE28" s="38" t="s">
        <v>45</v>
      </c>
    </row>
    <row r="29" spans="1:31">
      <c r="A29" s="39" t="s">
        <v>221</v>
      </c>
      <c r="B29" s="61" t="s">
        <v>212</v>
      </c>
      <c r="C29" s="61" t="s">
        <v>168</v>
      </c>
      <c r="D29" s="27" t="s">
        <v>33</v>
      </c>
      <c r="E29" s="27" t="s">
        <v>38</v>
      </c>
      <c r="F29" s="27" t="s">
        <v>193</v>
      </c>
      <c r="G29" s="35">
        <v>8</v>
      </c>
      <c r="H29" s="38" t="s">
        <v>43</v>
      </c>
      <c r="I29" s="38" t="s">
        <v>43</v>
      </c>
      <c r="J29" s="38" t="s">
        <v>1401</v>
      </c>
      <c r="K29" s="27">
        <v>11884</v>
      </c>
      <c r="L29" s="44" t="s">
        <v>224</v>
      </c>
      <c r="M29" s="40">
        <v>0.00179</v>
      </c>
      <c r="N29" s="40">
        <v>78.1</v>
      </c>
      <c r="O29" s="40">
        <v>0.00011</v>
      </c>
      <c r="P29" s="27"/>
      <c r="Q29" s="27"/>
      <c r="R29" s="27"/>
      <c r="S29" s="27"/>
      <c r="T29" s="40">
        <v>536</v>
      </c>
      <c r="U29" s="38"/>
      <c r="V29" s="38"/>
      <c r="W29" s="38"/>
      <c r="X29" s="106">
        <v>1</v>
      </c>
      <c r="Y29" s="106">
        <v>1</v>
      </c>
      <c r="Z29" s="106"/>
      <c r="AA29" s="106">
        <v>1</v>
      </c>
      <c r="AB29" s="106"/>
      <c r="AC29" s="106"/>
      <c r="AD29" s="38"/>
      <c r="AE29" s="38" t="s">
        <v>45</v>
      </c>
    </row>
    <row r="30" spans="1:31">
      <c r="A30" s="41" t="s">
        <v>225</v>
      </c>
      <c r="B30" s="61" t="s">
        <v>226</v>
      </c>
      <c r="C30" s="61" t="s">
        <v>168</v>
      </c>
      <c r="D30" s="27" t="s">
        <v>33</v>
      </c>
      <c r="E30" s="27" t="s">
        <v>38</v>
      </c>
      <c r="F30" s="27" t="s">
        <v>67</v>
      </c>
      <c r="G30" s="35">
        <v>37</v>
      </c>
      <c r="H30" s="38">
        <v>18</v>
      </c>
      <c r="I30" s="38">
        <v>19</v>
      </c>
      <c r="J30" s="38" t="s">
        <v>1401</v>
      </c>
      <c r="K30" s="27" t="s">
        <v>229</v>
      </c>
      <c r="L30" s="27" t="s">
        <v>230</v>
      </c>
      <c r="M30">
        <v>0.00517</v>
      </c>
      <c r="N30">
        <v>99.4</v>
      </c>
      <c r="O30">
        <v>0.000583</v>
      </c>
      <c r="P30" t="s">
        <v>42</v>
      </c>
      <c r="Q30" t="s">
        <v>42</v>
      </c>
      <c r="R30" t="s">
        <v>42</v>
      </c>
      <c r="S30" t="s">
        <v>42</v>
      </c>
      <c r="T30">
        <v>6340</v>
      </c>
      <c r="U30" s="38"/>
      <c r="V30" s="38"/>
      <c r="W30" s="38"/>
      <c r="X30" s="106">
        <v>1</v>
      </c>
      <c r="Y30" s="106">
        <v>1</v>
      </c>
      <c r="Z30" s="106"/>
      <c r="AA30" s="106"/>
      <c r="AB30" s="106"/>
      <c r="AC30" s="106"/>
      <c r="AD30" s="38"/>
      <c r="AE30" s="38" t="s">
        <v>45</v>
      </c>
    </row>
    <row r="31" spans="1:31">
      <c r="A31" s="39" t="s">
        <v>231</v>
      </c>
      <c r="B31" s="61" t="s">
        <v>226</v>
      </c>
      <c r="C31" s="61" t="s">
        <v>168</v>
      </c>
      <c r="D31" s="27" t="s">
        <v>33</v>
      </c>
      <c r="E31" s="27" t="s">
        <v>38</v>
      </c>
      <c r="F31" s="27" t="s">
        <v>187</v>
      </c>
      <c r="G31" s="35">
        <v>7</v>
      </c>
      <c r="H31" s="38" t="s">
        <v>43</v>
      </c>
      <c r="I31" s="38" t="s">
        <v>43</v>
      </c>
      <c r="J31" s="38" t="s">
        <v>1401</v>
      </c>
      <c r="K31" s="27">
        <v>3981</v>
      </c>
      <c r="L31" s="44" t="s">
        <v>233</v>
      </c>
      <c r="M31" s="40">
        <v>0.855</v>
      </c>
      <c r="N31" s="40">
        <v>0</v>
      </c>
      <c r="O31" s="40">
        <v>0.00583</v>
      </c>
      <c r="P31" s="27"/>
      <c r="Q31" s="27"/>
      <c r="R31" s="27"/>
      <c r="S31" s="27"/>
      <c r="T31" s="40">
        <v>18</v>
      </c>
      <c r="U31" s="38">
        <f>5*7+10</f>
        <v>45</v>
      </c>
      <c r="V31" s="38">
        <f>18-45</f>
        <v>-27</v>
      </c>
      <c r="W31" s="38"/>
      <c r="X31" s="106">
        <v>1</v>
      </c>
      <c r="Y31" s="106"/>
      <c r="Z31" s="106"/>
      <c r="AA31" s="106">
        <v>1</v>
      </c>
      <c r="AB31" s="106"/>
      <c r="AC31" s="106"/>
      <c r="AD31" s="106"/>
      <c r="AE31" s="38" t="s">
        <v>45</v>
      </c>
    </row>
    <row r="32" spans="1:31">
      <c r="A32" s="39" t="s">
        <v>234</v>
      </c>
      <c r="B32" s="61" t="s">
        <v>226</v>
      </c>
      <c r="C32" s="61" t="s">
        <v>168</v>
      </c>
      <c r="D32" s="27" t="s">
        <v>33</v>
      </c>
      <c r="E32" s="27" t="s">
        <v>38</v>
      </c>
      <c r="F32" s="27" t="s">
        <v>193</v>
      </c>
      <c r="G32" s="35">
        <v>8</v>
      </c>
      <c r="H32" s="38" t="s">
        <v>43</v>
      </c>
      <c r="I32" s="38" t="s">
        <v>43</v>
      </c>
      <c r="J32" s="38" t="s">
        <v>1401</v>
      </c>
      <c r="K32" s="27">
        <v>12174</v>
      </c>
      <c r="L32" s="44" t="s">
        <v>236</v>
      </c>
      <c r="M32" s="40">
        <v>0.11</v>
      </c>
      <c r="N32" s="40">
        <v>55.1</v>
      </c>
      <c r="O32" s="40">
        <v>0.000141</v>
      </c>
      <c r="P32" s="27"/>
      <c r="Q32" s="27"/>
      <c r="R32" s="27"/>
      <c r="S32" s="27"/>
      <c r="T32" s="40">
        <v>333</v>
      </c>
      <c r="U32" s="38">
        <f>5*8+10</f>
        <v>50</v>
      </c>
      <c r="V32" s="38">
        <f>333-50</f>
        <v>283</v>
      </c>
      <c r="W32" s="38"/>
      <c r="X32" s="106"/>
      <c r="Y32" s="106">
        <v>1</v>
      </c>
      <c r="Z32" s="106"/>
      <c r="AA32" s="106">
        <v>1</v>
      </c>
      <c r="AB32" s="106"/>
      <c r="AC32" s="106"/>
      <c r="AD32" s="106"/>
      <c r="AE32" s="38" t="s">
        <v>45</v>
      </c>
    </row>
    <row r="33" spans="1:31">
      <c r="B33" s="32" t="s">
        <v>237</v>
      </c>
      <c r="C33" s="32"/>
      <c r="G33" s="105"/>
      <c r="H33" s="106"/>
      <c r="I33" s="106"/>
      <c r="J33" s="106"/>
      <c r="O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</row>
    <row r="34" spans="1:31">
      <c r="A34" s="41" t="s">
        <v>238</v>
      </c>
      <c r="B34" s="61" t="s">
        <v>1411</v>
      </c>
      <c r="C34" s="61" t="s">
        <v>240</v>
      </c>
      <c r="D34" s="27" t="s">
        <v>55</v>
      </c>
      <c r="E34" s="27" t="s">
        <v>59</v>
      </c>
      <c r="G34" s="35">
        <v>33</v>
      </c>
      <c r="H34" s="38">
        <v>0</v>
      </c>
      <c r="I34" s="38">
        <v>33</v>
      </c>
      <c r="J34" s="38" t="s">
        <v>1404</v>
      </c>
      <c r="K34" s="27" t="s">
        <v>244</v>
      </c>
      <c r="L34" s="27" t="s">
        <v>245</v>
      </c>
      <c r="M34">
        <v>0.000447</v>
      </c>
      <c r="N34">
        <v>92.7</v>
      </c>
      <c r="O34" s="123" t="s">
        <v>243</v>
      </c>
      <c r="P34" t="s">
        <v>42</v>
      </c>
      <c r="Q34" t="s">
        <v>42</v>
      </c>
      <c r="R34" t="s">
        <v>42</v>
      </c>
      <c r="S34" t="s">
        <v>42</v>
      </c>
      <c r="T34">
        <v>2182</v>
      </c>
      <c r="U34" s="38"/>
      <c r="V34" s="38"/>
      <c r="W34" s="38">
        <v>1</v>
      </c>
      <c r="X34" s="106">
        <v>1</v>
      </c>
      <c r="Y34" s="106">
        <v>1</v>
      </c>
      <c r="Z34" s="106"/>
      <c r="AA34" s="106"/>
      <c r="AB34" s="106"/>
      <c r="AC34" s="106"/>
      <c r="AD34" s="38"/>
      <c r="AE34" s="38" t="s">
        <v>45</v>
      </c>
    </row>
    <row r="35" spans="1:31">
      <c r="A35" s="41" t="s">
        <v>246</v>
      </c>
      <c r="B35" s="61" t="s">
        <v>247</v>
      </c>
      <c r="C35" s="61" t="s">
        <v>248</v>
      </c>
      <c r="D35" s="27" t="s">
        <v>33</v>
      </c>
      <c r="E35" s="27" t="s">
        <v>38</v>
      </c>
      <c r="G35" s="35">
        <v>43</v>
      </c>
      <c r="H35" s="38">
        <v>38</v>
      </c>
      <c r="I35" s="38">
        <v>5</v>
      </c>
      <c r="J35" s="38" t="s">
        <v>1412</v>
      </c>
      <c r="K35" s="27" t="s">
        <v>252</v>
      </c>
      <c r="L35" s="27" t="s">
        <v>253</v>
      </c>
      <c r="M35">
        <v>0.0158</v>
      </c>
      <c r="N35">
        <v>89.9</v>
      </c>
      <c r="O35">
        <v>0.000162</v>
      </c>
      <c r="P35" t="s">
        <v>42</v>
      </c>
      <c r="Q35" t="s">
        <v>42</v>
      </c>
      <c r="R35" t="s">
        <v>42</v>
      </c>
      <c r="S35" t="s">
        <v>42</v>
      </c>
      <c r="T35">
        <v>1391</v>
      </c>
      <c r="U35" s="38"/>
      <c r="V35" s="38"/>
      <c r="W35" s="38"/>
      <c r="X35" s="106">
        <v>1</v>
      </c>
      <c r="Y35" s="106">
        <v>1</v>
      </c>
      <c r="Z35" s="106"/>
      <c r="AA35" s="106"/>
      <c r="AB35" s="106"/>
      <c r="AC35" s="106"/>
      <c r="AD35" s="38"/>
      <c r="AE35" s="38" t="s">
        <v>45</v>
      </c>
    </row>
    <row r="36" spans="1:31">
      <c r="A36" s="41" t="s">
        <v>254</v>
      </c>
      <c r="B36" s="61" t="s">
        <v>247</v>
      </c>
      <c r="C36" s="61" t="s">
        <v>255</v>
      </c>
      <c r="D36" s="27" t="s">
        <v>55</v>
      </c>
      <c r="E36" s="27" t="s">
        <v>59</v>
      </c>
      <c r="G36" s="35">
        <v>36</v>
      </c>
      <c r="H36" s="38">
        <v>2</v>
      </c>
      <c r="I36" s="38">
        <v>34</v>
      </c>
      <c r="J36" s="38" t="s">
        <v>1401</v>
      </c>
      <c r="K36" s="27" t="s">
        <v>259</v>
      </c>
      <c r="L36" s="27" t="s">
        <v>260</v>
      </c>
      <c r="M36">
        <v>0.000455</v>
      </c>
      <c r="N36">
        <v>95.3</v>
      </c>
      <c r="O36" s="123" t="s">
        <v>258</v>
      </c>
      <c r="P36" t="s">
        <v>42</v>
      </c>
      <c r="Q36" t="s">
        <v>42</v>
      </c>
      <c r="R36" t="s">
        <v>42</v>
      </c>
      <c r="S36" t="s">
        <v>42</v>
      </c>
      <c r="T36">
        <v>2892</v>
      </c>
      <c r="U36" s="38"/>
      <c r="V36" s="38"/>
      <c r="W36" s="38"/>
      <c r="X36" s="106">
        <v>1</v>
      </c>
      <c r="Y36" s="106">
        <v>1</v>
      </c>
      <c r="Z36" s="106"/>
      <c r="AA36" s="106"/>
      <c r="AB36" s="106"/>
      <c r="AC36" s="106">
        <v>1</v>
      </c>
      <c r="AD36" s="38"/>
      <c r="AE36" s="49" t="s">
        <v>45</v>
      </c>
    </row>
    <row r="37" spans="1:31">
      <c r="A37" s="39" t="s">
        <v>261</v>
      </c>
      <c r="B37" s="61" t="s">
        <v>262</v>
      </c>
      <c r="C37" s="61" t="s">
        <v>263</v>
      </c>
      <c r="D37" s="27" t="s">
        <v>33</v>
      </c>
      <c r="E37" s="27" t="s">
        <v>38</v>
      </c>
      <c r="F37" s="57" t="s">
        <v>85</v>
      </c>
      <c r="G37" s="35">
        <v>5</v>
      </c>
      <c r="H37" s="38">
        <v>2</v>
      </c>
      <c r="I37" s="38">
        <v>3</v>
      </c>
      <c r="J37" s="38" t="s">
        <v>1413</v>
      </c>
      <c r="K37" s="27" t="s">
        <v>266</v>
      </c>
      <c r="L37" s="27" t="s">
        <v>267</v>
      </c>
      <c r="M37" s="40">
        <v>0.841</v>
      </c>
      <c r="N37" s="40">
        <v>13.4</v>
      </c>
      <c r="O37" s="40">
        <v>0.0135</v>
      </c>
      <c r="P37" s="27"/>
      <c r="Q37" s="27"/>
      <c r="R37" s="27"/>
      <c r="S37" s="27"/>
      <c r="T37" s="40">
        <v>6</v>
      </c>
      <c r="U37" s="38">
        <v>35</v>
      </c>
      <c r="V37" s="38">
        <v>-29</v>
      </c>
      <c r="W37" s="38"/>
      <c r="X37" s="106">
        <v>1</v>
      </c>
      <c r="Y37" s="106"/>
      <c r="Z37" s="106"/>
      <c r="AA37" s="106"/>
      <c r="AB37" s="106"/>
      <c r="AC37" s="106"/>
      <c r="AD37" s="38"/>
      <c r="AE37" s="38" t="s">
        <v>45</v>
      </c>
    </row>
    <row r="38" spans="1:31">
      <c r="A38" s="39" t="s">
        <v>268</v>
      </c>
      <c r="B38" s="61" t="s">
        <v>262</v>
      </c>
      <c r="C38" s="61" t="s">
        <v>263</v>
      </c>
      <c r="D38" s="27" t="s">
        <v>33</v>
      </c>
      <c r="E38" s="27" t="s">
        <v>38</v>
      </c>
      <c r="F38" s="57" t="s">
        <v>269</v>
      </c>
      <c r="G38" s="35">
        <v>5</v>
      </c>
      <c r="H38" s="38">
        <v>2</v>
      </c>
      <c r="I38" s="38">
        <v>3</v>
      </c>
      <c r="J38" s="38" t="s">
        <v>1413</v>
      </c>
      <c r="K38" s="27" t="s">
        <v>266</v>
      </c>
      <c r="L38" s="27" t="s">
        <v>271</v>
      </c>
      <c r="M38" s="7">
        <v>0.0937</v>
      </c>
      <c r="N38" s="27">
        <v>0</v>
      </c>
      <c r="O38" s="40">
        <v>0.0373</v>
      </c>
      <c r="P38" s="27"/>
      <c r="Q38" s="27"/>
      <c r="R38" s="27"/>
      <c r="S38" s="27"/>
      <c r="T38" s="27">
        <v>0</v>
      </c>
      <c r="U38" s="38">
        <v>35</v>
      </c>
      <c r="V38" s="38">
        <v>-35</v>
      </c>
      <c r="W38" s="38"/>
      <c r="X38" s="106">
        <v>1</v>
      </c>
      <c r="Y38" s="106"/>
      <c r="Z38" s="106"/>
      <c r="AA38" s="106"/>
      <c r="AB38" s="106"/>
      <c r="AC38" s="106"/>
      <c r="AD38" s="38"/>
      <c r="AE38" s="38" t="s">
        <v>45</v>
      </c>
    </row>
    <row r="39" spans="1:31">
      <c r="A39" s="39" t="s">
        <v>272</v>
      </c>
      <c r="B39" s="61" t="s">
        <v>262</v>
      </c>
      <c r="C39" s="61" t="s">
        <v>263</v>
      </c>
      <c r="D39" s="27" t="s">
        <v>33</v>
      </c>
      <c r="E39" s="27" t="s">
        <v>38</v>
      </c>
      <c r="F39" s="27" t="s">
        <v>273</v>
      </c>
      <c r="G39" s="35">
        <v>5</v>
      </c>
      <c r="H39" s="38">
        <v>2</v>
      </c>
      <c r="I39" s="38">
        <v>3</v>
      </c>
      <c r="J39" s="38" t="s">
        <v>1413</v>
      </c>
      <c r="K39" s="27" t="s">
        <v>266</v>
      </c>
      <c r="L39" s="27" t="s">
        <v>275</v>
      </c>
      <c r="M39" s="40">
        <v>0.957</v>
      </c>
      <c r="N39" s="27">
        <v>0</v>
      </c>
      <c r="O39" s="40">
        <v>0.0188</v>
      </c>
      <c r="P39" s="27"/>
      <c r="Q39" s="27"/>
      <c r="R39" s="27"/>
      <c r="S39" s="27"/>
      <c r="T39" s="40">
        <v>3</v>
      </c>
      <c r="U39" s="38">
        <v>35</v>
      </c>
      <c r="V39" s="38">
        <v>-32</v>
      </c>
      <c r="W39" s="38"/>
      <c r="X39" s="106">
        <v>1</v>
      </c>
      <c r="Y39" s="106"/>
      <c r="Z39" s="106"/>
      <c r="AA39" s="106"/>
      <c r="AB39" s="106"/>
      <c r="AC39" s="106"/>
      <c r="AD39" s="38"/>
      <c r="AE39" s="38" t="s">
        <v>45</v>
      </c>
    </row>
    <row r="40" spans="1:31">
      <c r="A40" s="41" t="s">
        <v>276</v>
      </c>
      <c r="B40" s="61" t="s">
        <v>277</v>
      </c>
      <c r="C40" s="61" t="s">
        <v>278</v>
      </c>
      <c r="D40" s="27" t="s">
        <v>55</v>
      </c>
      <c r="E40" s="27" t="s">
        <v>59</v>
      </c>
      <c r="G40" s="35">
        <v>22</v>
      </c>
      <c r="H40" s="38">
        <v>1</v>
      </c>
      <c r="I40" s="38">
        <v>21</v>
      </c>
      <c r="J40" s="38" t="s">
        <v>1401</v>
      </c>
      <c r="K40" s="27" t="s">
        <v>281</v>
      </c>
      <c r="L40" s="27" t="s">
        <v>282</v>
      </c>
      <c r="M40">
        <v>0.111</v>
      </c>
      <c r="N40">
        <v>88.1</v>
      </c>
      <c r="O40">
        <v>5.94e-6</v>
      </c>
      <c r="P40" t="s">
        <v>42</v>
      </c>
      <c r="Q40" t="s">
        <v>42</v>
      </c>
      <c r="R40" t="s">
        <v>42</v>
      </c>
      <c r="S40" t="s">
        <v>42</v>
      </c>
      <c r="T40">
        <v>1760</v>
      </c>
      <c r="U40" s="38"/>
      <c r="V40" s="38"/>
      <c r="W40" s="38"/>
      <c r="X40" s="106"/>
      <c r="Y40" s="106">
        <v>1</v>
      </c>
      <c r="Z40" s="106"/>
      <c r="AA40" s="106"/>
      <c r="AB40" s="106"/>
      <c r="AC40" s="106"/>
      <c r="AD40" s="38"/>
      <c r="AE40" s="38" t="s">
        <v>45</v>
      </c>
    </row>
    <row r="41" spans="1:31">
      <c r="A41" s="41" t="s">
        <v>283</v>
      </c>
      <c r="B41" s="61" t="s">
        <v>1414</v>
      </c>
      <c r="C41" s="61" t="s">
        <v>285</v>
      </c>
      <c r="D41" s="27" t="s">
        <v>33</v>
      </c>
      <c r="E41" s="27" t="s">
        <v>38</v>
      </c>
      <c r="G41" s="35">
        <v>16</v>
      </c>
      <c r="H41" s="38">
        <v>6</v>
      </c>
      <c r="I41" s="38">
        <v>10</v>
      </c>
      <c r="J41" s="38" t="s">
        <v>1401</v>
      </c>
      <c r="K41" s="27" t="s">
        <v>288</v>
      </c>
      <c r="L41" s="27" t="s">
        <v>289</v>
      </c>
      <c r="M41">
        <v>0.655</v>
      </c>
      <c r="N41">
        <v>67.5</v>
      </c>
      <c r="O41">
        <v>0.542</v>
      </c>
      <c r="P41">
        <v>179</v>
      </c>
      <c r="Q41">
        <v>1444</v>
      </c>
      <c r="R41">
        <v>380</v>
      </c>
      <c r="S41" t="s">
        <v>159</v>
      </c>
      <c r="T41" t="s">
        <v>42</v>
      </c>
      <c r="U41" s="38"/>
      <c r="V41" s="38"/>
      <c r="W41" s="38"/>
      <c r="X41" s="106"/>
      <c r="Y41" s="106">
        <v>1</v>
      </c>
      <c r="Z41" s="106"/>
      <c r="AA41" s="106">
        <v>1</v>
      </c>
      <c r="AB41" s="106"/>
      <c r="AC41" s="106"/>
      <c r="AD41" s="38"/>
      <c r="AE41" s="38" t="s">
        <v>45</v>
      </c>
    </row>
    <row r="42" spans="1:31">
      <c r="A42" s="41" t="s">
        <v>290</v>
      </c>
      <c r="B42" s="61" t="s">
        <v>1414</v>
      </c>
      <c r="C42" s="61" t="s">
        <v>285</v>
      </c>
      <c r="D42" s="27" t="s">
        <v>55</v>
      </c>
      <c r="E42" s="27" t="s">
        <v>59</v>
      </c>
      <c r="G42" s="35">
        <v>11</v>
      </c>
      <c r="H42" s="38">
        <v>2</v>
      </c>
      <c r="I42" s="38">
        <v>9</v>
      </c>
      <c r="J42" s="38" t="s">
        <v>1401</v>
      </c>
      <c r="K42" s="27" t="s">
        <v>293</v>
      </c>
      <c r="L42" s="27" t="s">
        <v>294</v>
      </c>
      <c r="M42">
        <v>0.123</v>
      </c>
      <c r="N42">
        <v>39.7</v>
      </c>
      <c r="O42">
        <v>0.000161</v>
      </c>
      <c r="P42" t="s">
        <v>42</v>
      </c>
      <c r="Q42" t="s">
        <v>42</v>
      </c>
      <c r="R42" t="s">
        <v>42</v>
      </c>
      <c r="S42" t="s">
        <v>42</v>
      </c>
      <c r="T42">
        <v>271</v>
      </c>
      <c r="U42" s="38"/>
      <c r="V42" s="38"/>
      <c r="W42" s="38"/>
      <c r="X42" s="106"/>
      <c r="Y42" s="106"/>
      <c r="Z42" s="106"/>
      <c r="AA42" s="106"/>
      <c r="AB42" s="106"/>
      <c r="AC42" s="106"/>
      <c r="AD42" s="38"/>
      <c r="AE42" s="38" t="s">
        <v>62</v>
      </c>
    </row>
    <row r="43" spans="1:31">
      <c r="A43" s="41" t="s">
        <v>295</v>
      </c>
      <c r="B43" s="61" t="s">
        <v>303</v>
      </c>
      <c r="C43" s="61" t="s">
        <v>297</v>
      </c>
      <c r="D43" s="27" t="s">
        <v>33</v>
      </c>
      <c r="E43" s="27" t="s">
        <v>38</v>
      </c>
      <c r="G43" s="35">
        <v>24</v>
      </c>
      <c r="H43" s="38">
        <v>5</v>
      </c>
      <c r="I43" s="38">
        <v>19</v>
      </c>
      <c r="J43" s="38" t="s">
        <v>1415</v>
      </c>
      <c r="K43" s="27" t="s">
        <v>300</v>
      </c>
      <c r="L43" s="27" t="s">
        <v>301</v>
      </c>
      <c r="M43">
        <v>0.888</v>
      </c>
      <c r="N43">
        <v>92.1</v>
      </c>
      <c r="O43">
        <v>0.00933</v>
      </c>
      <c r="P43" t="s">
        <v>42</v>
      </c>
      <c r="Q43" t="s">
        <v>42</v>
      </c>
      <c r="R43" t="s">
        <v>42</v>
      </c>
      <c r="S43" t="s">
        <v>42</v>
      </c>
      <c r="T43">
        <v>575</v>
      </c>
      <c r="U43" s="38"/>
      <c r="V43" s="38"/>
      <c r="W43" s="38">
        <v>1</v>
      </c>
      <c r="X43" s="106"/>
      <c r="Y43" s="106">
        <v>1</v>
      </c>
      <c r="Z43" s="106"/>
      <c r="AA43" s="106"/>
      <c r="AB43" s="106"/>
      <c r="AC43" s="106"/>
      <c r="AD43" s="38"/>
      <c r="AE43" s="38" t="s">
        <v>45</v>
      </c>
    </row>
    <row r="44" spans="1:31">
      <c r="A44" s="41" t="s">
        <v>302</v>
      </c>
      <c r="B44" s="61" t="s">
        <v>303</v>
      </c>
      <c r="C44" s="61" t="s">
        <v>240</v>
      </c>
      <c r="D44" s="27" t="s">
        <v>55</v>
      </c>
      <c r="E44" s="27" t="s">
        <v>59</v>
      </c>
      <c r="G44" s="35">
        <v>3</v>
      </c>
      <c r="H44" s="38">
        <v>0</v>
      </c>
      <c r="I44" s="38">
        <v>3</v>
      </c>
      <c r="J44" s="38" t="s">
        <v>1401</v>
      </c>
      <c r="K44" s="27" t="s">
        <v>305</v>
      </c>
      <c r="L44" s="47" t="s">
        <v>306</v>
      </c>
      <c r="M44">
        <v>0.528</v>
      </c>
      <c r="N44">
        <v>0</v>
      </c>
      <c r="O44">
        <v>0.14</v>
      </c>
      <c r="P44">
        <v>1</v>
      </c>
      <c r="Q44">
        <v>1</v>
      </c>
      <c r="R44">
        <v>4</v>
      </c>
      <c r="S44">
        <v>3</v>
      </c>
      <c r="T44" t="s">
        <v>42</v>
      </c>
      <c r="U44" s="38"/>
      <c r="V44" s="38"/>
      <c r="W44" s="38"/>
      <c r="X44" s="106"/>
      <c r="Y44" s="106"/>
      <c r="Z44" s="106"/>
      <c r="AA44" s="106">
        <v>1</v>
      </c>
      <c r="AB44" s="106"/>
      <c r="AC44" s="106"/>
      <c r="AD44" s="38"/>
      <c r="AE44" s="38" t="s">
        <v>45</v>
      </c>
    </row>
    <row r="45" spans="1:31">
      <c r="A45" s="41" t="s">
        <v>307</v>
      </c>
      <c r="B45" s="61" t="s">
        <v>308</v>
      </c>
      <c r="C45" s="61" t="s">
        <v>309</v>
      </c>
      <c r="D45" s="27" t="s">
        <v>33</v>
      </c>
      <c r="E45" s="27" t="s">
        <v>38</v>
      </c>
      <c r="G45" s="35">
        <v>13</v>
      </c>
      <c r="H45" s="38">
        <v>6</v>
      </c>
      <c r="I45" s="38">
        <v>7</v>
      </c>
      <c r="J45" s="38" t="s">
        <v>1404</v>
      </c>
      <c r="K45" s="27" t="s">
        <v>312</v>
      </c>
      <c r="L45" s="27" t="s">
        <v>313</v>
      </c>
      <c r="M45" s="48">
        <v>0.0685</v>
      </c>
      <c r="N45">
        <v>0</v>
      </c>
      <c r="O45">
        <v>0.000337</v>
      </c>
      <c r="P45" t="s">
        <v>42</v>
      </c>
      <c r="Q45" t="s">
        <v>42</v>
      </c>
      <c r="R45" t="s">
        <v>42</v>
      </c>
      <c r="S45" t="s">
        <v>42</v>
      </c>
      <c r="T45">
        <v>117</v>
      </c>
      <c r="U45" s="38"/>
      <c r="V45" s="38"/>
      <c r="W45" s="38">
        <v>1</v>
      </c>
      <c r="X45" s="106"/>
      <c r="Y45" s="106"/>
      <c r="Z45" s="106"/>
      <c r="AA45" s="106"/>
      <c r="AB45" s="106"/>
      <c r="AC45" s="106"/>
      <c r="AD45" s="38"/>
      <c r="AE45" s="38" t="s">
        <v>45</v>
      </c>
    </row>
    <row r="46" spans="1:31">
      <c r="A46" s="41" t="s">
        <v>314</v>
      </c>
      <c r="B46" s="61" t="s">
        <v>1416</v>
      </c>
      <c r="C46" s="61" t="s">
        <v>309</v>
      </c>
      <c r="D46" s="27" t="s">
        <v>33</v>
      </c>
      <c r="E46" s="27" t="s">
        <v>38</v>
      </c>
      <c r="G46" s="35">
        <v>8</v>
      </c>
      <c r="H46" s="38">
        <v>3</v>
      </c>
      <c r="I46" s="38">
        <v>5</v>
      </c>
      <c r="J46" s="38" t="s">
        <v>1401</v>
      </c>
      <c r="K46" s="27" t="s">
        <v>318</v>
      </c>
      <c r="L46" s="27" t="s">
        <v>319</v>
      </c>
      <c r="M46">
        <v>0.904</v>
      </c>
      <c r="N46">
        <v>73.2</v>
      </c>
      <c r="O46">
        <v>0.312</v>
      </c>
      <c r="P46">
        <v>19</v>
      </c>
      <c r="Q46">
        <v>4</v>
      </c>
      <c r="R46">
        <v>46</v>
      </c>
      <c r="S46">
        <v>6</v>
      </c>
      <c r="T46" t="s">
        <v>42</v>
      </c>
      <c r="U46" s="38"/>
      <c r="V46" s="38"/>
      <c r="W46" s="38"/>
      <c r="X46" s="106"/>
      <c r="Y46" s="106">
        <v>1</v>
      </c>
      <c r="Z46" s="106"/>
      <c r="AA46" s="106">
        <v>1</v>
      </c>
      <c r="AB46" s="106"/>
      <c r="AC46" s="106"/>
      <c r="AD46" s="38"/>
      <c r="AE46" s="38" t="s">
        <v>45</v>
      </c>
    </row>
    <row r="47" spans="1:31">
      <c r="A47" s="41" t="s">
        <v>320</v>
      </c>
      <c r="B47" s="61" t="s">
        <v>321</v>
      </c>
      <c r="C47" s="61" t="s">
        <v>297</v>
      </c>
      <c r="D47" s="27" t="s">
        <v>33</v>
      </c>
      <c r="E47" s="27" t="s">
        <v>38</v>
      </c>
      <c r="G47" s="35">
        <v>11</v>
      </c>
      <c r="H47" s="38">
        <v>1</v>
      </c>
      <c r="I47" s="38">
        <v>10</v>
      </c>
      <c r="J47" s="38" t="s">
        <v>1417</v>
      </c>
      <c r="K47" s="27" t="s">
        <v>324</v>
      </c>
      <c r="L47" s="27" t="s">
        <v>325</v>
      </c>
      <c r="M47">
        <v>0.795</v>
      </c>
      <c r="N47">
        <v>94</v>
      </c>
      <c r="O47">
        <v>0.0216</v>
      </c>
      <c r="P47" t="s">
        <v>42</v>
      </c>
      <c r="Q47" t="s">
        <v>42</v>
      </c>
      <c r="R47" t="s">
        <v>42</v>
      </c>
      <c r="S47" t="s">
        <v>42</v>
      </c>
      <c r="T47">
        <v>377</v>
      </c>
      <c r="U47" s="38"/>
      <c r="V47" s="38"/>
      <c r="W47" s="38">
        <v>1</v>
      </c>
      <c r="X47" s="106"/>
      <c r="Y47" s="106">
        <v>1</v>
      </c>
      <c r="Z47" s="106"/>
      <c r="AA47" s="106"/>
      <c r="AB47" s="106"/>
      <c r="AC47" s="106"/>
      <c r="AD47" s="38"/>
      <c r="AE47" s="38" t="s">
        <v>45</v>
      </c>
    </row>
    <row r="48" spans="1:31">
      <c r="A48" s="41" t="s">
        <v>326</v>
      </c>
      <c r="B48" s="61" t="s">
        <v>1418</v>
      </c>
      <c r="C48" s="61" t="s">
        <v>297</v>
      </c>
      <c r="D48" s="27" t="s">
        <v>33</v>
      </c>
      <c r="E48" s="27" t="s">
        <v>38</v>
      </c>
      <c r="G48" s="35">
        <v>35</v>
      </c>
      <c r="H48" s="38" t="s">
        <v>43</v>
      </c>
      <c r="I48" s="38" t="s">
        <v>43</v>
      </c>
      <c r="J48" s="38" t="s">
        <v>1417</v>
      </c>
      <c r="K48" s="27" t="s">
        <v>330</v>
      </c>
      <c r="L48" s="27" t="s">
        <v>1419</v>
      </c>
      <c r="M48" s="40">
        <v>0.13</v>
      </c>
      <c r="N48">
        <v>36.4</v>
      </c>
      <c r="O48" s="40">
        <v>1.31e-7</v>
      </c>
      <c r="P48" t="s">
        <v>42</v>
      </c>
      <c r="Q48" t="s">
        <v>42</v>
      </c>
      <c r="R48" t="s">
        <v>42</v>
      </c>
      <c r="S48" t="s">
        <v>42</v>
      </c>
      <c r="T48">
        <v>614</v>
      </c>
      <c r="U48" s="38"/>
      <c r="V48" s="38"/>
      <c r="W48" s="38">
        <v>1</v>
      </c>
      <c r="X48" s="106"/>
      <c r="Y48" s="106"/>
      <c r="Z48" s="106"/>
      <c r="AA48" s="106"/>
      <c r="AB48" s="106"/>
      <c r="AC48" s="106"/>
      <c r="AD48" s="38"/>
      <c r="AE48" s="38" t="s">
        <v>45</v>
      </c>
    </row>
    <row r="49" spans="1:31">
      <c r="A49" s="41" t="s">
        <v>331</v>
      </c>
      <c r="B49" s="61" t="s">
        <v>1418</v>
      </c>
      <c r="C49" s="61" t="s">
        <v>240</v>
      </c>
      <c r="D49" s="27" t="s">
        <v>55</v>
      </c>
      <c r="E49" s="27" t="s">
        <v>59</v>
      </c>
      <c r="G49" s="35">
        <v>2</v>
      </c>
      <c r="H49" s="38">
        <v>0</v>
      </c>
      <c r="I49" s="38">
        <v>2</v>
      </c>
      <c r="J49" s="38" t="s">
        <v>1401</v>
      </c>
      <c r="K49" s="27" t="s">
        <v>333</v>
      </c>
      <c r="L49" s="47" t="s">
        <v>334</v>
      </c>
      <c r="M49" t="s">
        <v>43</v>
      </c>
      <c r="N49">
        <v>0</v>
      </c>
      <c r="O49">
        <v>0.0788</v>
      </c>
      <c r="P49">
        <v>0</v>
      </c>
      <c r="Q49">
        <v>0</v>
      </c>
      <c r="R49">
        <v>1</v>
      </c>
      <c r="S49">
        <v>1</v>
      </c>
      <c r="T49" t="s">
        <v>42</v>
      </c>
      <c r="U49" s="38"/>
      <c r="V49" s="38"/>
      <c r="W49" s="38"/>
      <c r="X49" s="106">
        <v>1</v>
      </c>
      <c r="Y49" s="106"/>
      <c r="Z49" s="106"/>
      <c r="AA49" s="106">
        <v>1</v>
      </c>
      <c r="AB49" s="106"/>
      <c r="AC49" s="106"/>
      <c r="AD49" s="38"/>
      <c r="AE49" s="49" t="s">
        <v>45</v>
      </c>
    </row>
    <row r="50" spans="1:31">
      <c r="A50" s="27" t="s">
        <v>335</v>
      </c>
      <c r="B50" s="61" t="s">
        <v>336</v>
      </c>
      <c r="C50" s="61" t="s">
        <v>337</v>
      </c>
      <c r="D50" s="27" t="s">
        <v>33</v>
      </c>
      <c r="E50" s="27" t="s">
        <v>38</v>
      </c>
      <c r="G50" s="35">
        <v>8</v>
      </c>
      <c r="H50" s="38">
        <v>0</v>
      </c>
      <c r="I50" s="38">
        <v>8</v>
      </c>
      <c r="J50" s="38" t="s">
        <v>1401</v>
      </c>
      <c r="K50" s="38" t="s">
        <v>339</v>
      </c>
      <c r="L50" s="47" t="s">
        <v>340</v>
      </c>
      <c r="M50" s="40">
        <v>0.502</v>
      </c>
      <c r="N50" s="27">
        <v>74.3</v>
      </c>
      <c r="O50" s="40">
        <v>0.0578</v>
      </c>
      <c r="P50" s="40">
        <v>0</v>
      </c>
      <c r="Q50" s="40">
        <v>374</v>
      </c>
      <c r="R50" s="40">
        <v>4</v>
      </c>
      <c r="S50" s="40">
        <v>918</v>
      </c>
      <c r="T50" s="27"/>
      <c r="U50" s="38"/>
      <c r="V50" s="38"/>
      <c r="W50" s="38"/>
      <c r="X50" s="38"/>
      <c r="Y50" s="38">
        <v>1</v>
      </c>
      <c r="Z50" s="38"/>
      <c r="AA50" s="38">
        <v>1</v>
      </c>
      <c r="AB50" s="38"/>
      <c r="AC50" s="38"/>
      <c r="AD50" s="38"/>
      <c r="AE50" s="38" t="s">
        <v>45</v>
      </c>
    </row>
    <row r="51" spans="1:31">
      <c r="A51" s="27" t="s">
        <v>342</v>
      </c>
      <c r="B51" s="61" t="s">
        <v>336</v>
      </c>
      <c r="C51" s="61" t="s">
        <v>337</v>
      </c>
      <c r="D51" s="27" t="s">
        <v>55</v>
      </c>
      <c r="E51" s="27" t="s">
        <v>59</v>
      </c>
      <c r="G51" s="35">
        <v>4</v>
      </c>
      <c r="H51" s="38">
        <v>0</v>
      </c>
      <c r="I51" s="38">
        <v>4</v>
      </c>
      <c r="J51" s="38" t="s">
        <v>1401</v>
      </c>
      <c r="K51" s="27" t="s">
        <v>346</v>
      </c>
      <c r="L51" s="27" t="s">
        <v>347</v>
      </c>
      <c r="M51" s="40">
        <v>0.468</v>
      </c>
      <c r="N51" s="40">
        <v>0</v>
      </c>
      <c r="O51" s="40">
        <v>0.00369</v>
      </c>
      <c r="P51" s="27"/>
      <c r="Q51" s="27"/>
      <c r="R51" s="27"/>
      <c r="S51" s="27"/>
      <c r="T51" s="40">
        <v>4</v>
      </c>
      <c r="U51" s="38">
        <v>30</v>
      </c>
      <c r="V51" s="38">
        <v>-26</v>
      </c>
      <c r="W51" s="38"/>
      <c r="X51" s="38">
        <v>1</v>
      </c>
      <c r="Y51" s="38"/>
      <c r="Z51" s="38"/>
      <c r="AA51" s="38"/>
      <c r="AB51" s="38"/>
      <c r="AC51" s="38"/>
      <c r="AD51" s="38"/>
      <c r="AE51" s="38" t="s">
        <v>45</v>
      </c>
    </row>
    <row r="52" spans="1:31">
      <c r="A52" s="27" t="s">
        <v>348</v>
      </c>
      <c r="B52" s="61" t="s">
        <v>349</v>
      </c>
      <c r="C52" s="61" t="s">
        <v>350</v>
      </c>
      <c r="D52" s="27" t="s">
        <v>33</v>
      </c>
      <c r="E52" s="27" t="s">
        <v>38</v>
      </c>
      <c r="G52" s="35">
        <v>6</v>
      </c>
      <c r="H52" s="38" t="s">
        <v>43</v>
      </c>
      <c r="I52" s="38" t="s">
        <v>43</v>
      </c>
      <c r="J52" s="38" t="s">
        <v>1401</v>
      </c>
      <c r="K52" s="27" t="s">
        <v>353</v>
      </c>
      <c r="L52" s="27" t="s">
        <v>354</v>
      </c>
      <c r="M52" s="27">
        <v>0.113</v>
      </c>
      <c r="N52" s="27">
        <v>70.6</v>
      </c>
      <c r="O52" s="27">
        <v>0.000132</v>
      </c>
      <c r="P52" s="27"/>
      <c r="Q52" s="27"/>
      <c r="R52" s="27"/>
      <c r="S52" s="27"/>
      <c r="T52" s="27">
        <v>481</v>
      </c>
      <c r="U52" s="38">
        <v>40</v>
      </c>
      <c r="V52" s="38">
        <v>441</v>
      </c>
      <c r="W52" s="38"/>
      <c r="X52" s="38"/>
      <c r="Y52" s="38">
        <v>1</v>
      </c>
      <c r="Z52" s="38"/>
      <c r="AA52" s="38"/>
      <c r="AB52" s="38"/>
      <c r="AC52" s="38"/>
      <c r="AD52" s="38"/>
      <c r="AE52" s="38" t="s">
        <v>45</v>
      </c>
    </row>
    <row r="53" spans="1:31">
      <c r="A53" s="41" t="s">
        <v>355</v>
      </c>
      <c r="B53" s="61" t="s">
        <v>1420</v>
      </c>
      <c r="C53" s="61" t="s">
        <v>357</v>
      </c>
      <c r="D53" s="27" t="s">
        <v>33</v>
      </c>
      <c r="E53" s="27" t="s">
        <v>38</v>
      </c>
      <c r="G53" s="35">
        <v>17</v>
      </c>
      <c r="H53" s="38">
        <v>12</v>
      </c>
      <c r="I53" s="38">
        <v>5</v>
      </c>
      <c r="J53" s="38" t="s">
        <v>1421</v>
      </c>
      <c r="K53" s="27" t="s">
        <v>359</v>
      </c>
      <c r="L53" s="27" t="s">
        <v>360</v>
      </c>
      <c r="M53">
        <v>0.333</v>
      </c>
      <c r="N53">
        <v>94.7</v>
      </c>
      <c r="O53">
        <v>0.194</v>
      </c>
      <c r="P53">
        <v>14</v>
      </c>
      <c r="Q53">
        <v>221</v>
      </c>
      <c r="R53">
        <v>39</v>
      </c>
      <c r="S53">
        <v>552</v>
      </c>
      <c r="T53" t="s">
        <v>42</v>
      </c>
      <c r="U53" s="38"/>
      <c r="V53" s="38"/>
      <c r="W53" s="38"/>
      <c r="X53" s="106"/>
      <c r="Y53" s="106">
        <v>1</v>
      </c>
      <c r="Z53" s="106"/>
      <c r="AA53" s="106">
        <v>1</v>
      </c>
      <c r="AB53" s="106"/>
      <c r="AC53" s="106"/>
      <c r="AD53" s="38"/>
      <c r="AE53" s="38" t="s">
        <v>45</v>
      </c>
    </row>
    <row r="54" spans="1:31">
      <c r="A54" s="41" t="s">
        <v>361</v>
      </c>
      <c r="B54" s="61" t="s">
        <v>362</v>
      </c>
      <c r="C54" s="61" t="s">
        <v>297</v>
      </c>
      <c r="D54" s="27" t="s">
        <v>33</v>
      </c>
      <c r="E54" s="27" t="s">
        <v>38</v>
      </c>
      <c r="G54" s="35">
        <v>12</v>
      </c>
      <c r="H54" s="38" t="s">
        <v>43</v>
      </c>
      <c r="I54" s="38" t="s">
        <v>43</v>
      </c>
      <c r="J54" s="38" t="s">
        <v>1417</v>
      </c>
      <c r="K54" s="27" t="s">
        <v>364</v>
      </c>
      <c r="L54" s="47" t="s">
        <v>365</v>
      </c>
      <c r="M54">
        <v>0.14</v>
      </c>
      <c r="N54">
        <v>88.9</v>
      </c>
      <c r="O54">
        <v>0.0564</v>
      </c>
      <c r="P54">
        <v>0</v>
      </c>
      <c r="Q54">
        <v>0</v>
      </c>
      <c r="R54">
        <v>1</v>
      </c>
      <c r="S54">
        <v>1</v>
      </c>
      <c r="T54" t="s">
        <v>42</v>
      </c>
      <c r="U54" s="38"/>
      <c r="V54" s="38"/>
      <c r="W54" s="38">
        <v>1</v>
      </c>
      <c r="X54" s="106"/>
      <c r="Y54" s="106">
        <v>1</v>
      </c>
      <c r="Z54" s="106"/>
      <c r="AA54" s="106">
        <v>1</v>
      </c>
      <c r="AB54" s="106"/>
      <c r="AC54" s="106"/>
      <c r="AD54" s="38"/>
      <c r="AE54" s="38" t="s">
        <v>45</v>
      </c>
    </row>
    <row r="55" spans="1:31">
      <c r="A55" s="41" t="s">
        <v>366</v>
      </c>
      <c r="B55" s="61" t="s">
        <v>367</v>
      </c>
      <c r="C55" s="61" t="s">
        <v>297</v>
      </c>
      <c r="D55" s="27" t="s">
        <v>33</v>
      </c>
      <c r="E55" s="27" t="s">
        <v>38</v>
      </c>
      <c r="G55" s="35">
        <v>8</v>
      </c>
      <c r="H55" s="38">
        <v>6</v>
      </c>
      <c r="I55" s="38">
        <v>2</v>
      </c>
      <c r="J55" s="38" t="s">
        <v>1417</v>
      </c>
      <c r="K55" s="27" t="s">
        <v>370</v>
      </c>
      <c r="L55" s="27" t="s">
        <v>371</v>
      </c>
      <c r="M55">
        <v>0.236</v>
      </c>
      <c r="N55">
        <v>55.3</v>
      </c>
      <c r="O55">
        <v>0.0156</v>
      </c>
      <c r="P55" t="s">
        <v>42</v>
      </c>
      <c r="Q55" t="s">
        <v>42</v>
      </c>
      <c r="R55" t="s">
        <v>42</v>
      </c>
      <c r="S55" t="s">
        <v>42</v>
      </c>
      <c r="T55">
        <v>160</v>
      </c>
      <c r="U55" s="38">
        <v>50</v>
      </c>
      <c r="V55" s="38">
        <v>110</v>
      </c>
      <c r="W55" s="38">
        <v>1</v>
      </c>
      <c r="X55" s="106"/>
      <c r="Y55" s="106">
        <v>1</v>
      </c>
      <c r="Z55" s="106"/>
      <c r="AA55" s="106"/>
      <c r="AB55" s="106"/>
      <c r="AC55" s="106"/>
      <c r="AD55" s="38"/>
      <c r="AE55" s="38" t="s">
        <v>45</v>
      </c>
    </row>
    <row r="56" spans="1:31">
      <c r="A56" s="41" t="s">
        <v>372</v>
      </c>
      <c r="B56" s="61" t="s">
        <v>373</v>
      </c>
      <c r="C56" s="61" t="s">
        <v>297</v>
      </c>
      <c r="D56" s="27" t="s">
        <v>33</v>
      </c>
      <c r="E56" s="27" t="s">
        <v>38</v>
      </c>
      <c r="G56" s="35">
        <v>5</v>
      </c>
      <c r="H56" s="38">
        <v>3</v>
      </c>
      <c r="I56" s="38">
        <v>2</v>
      </c>
      <c r="J56" s="38" t="s">
        <v>1415</v>
      </c>
      <c r="K56" s="27" t="s">
        <v>377</v>
      </c>
      <c r="L56" s="27" t="s">
        <v>378</v>
      </c>
      <c r="M56">
        <v>0.717</v>
      </c>
      <c r="N56">
        <v>0</v>
      </c>
      <c r="O56" s="123" t="s">
        <v>376</v>
      </c>
      <c r="P56" t="s">
        <v>42</v>
      </c>
      <c r="Q56" t="s">
        <v>42</v>
      </c>
      <c r="R56" t="s">
        <v>42</v>
      </c>
      <c r="S56" t="s">
        <v>42</v>
      </c>
      <c r="T56">
        <v>19</v>
      </c>
      <c r="U56" s="38">
        <v>35</v>
      </c>
      <c r="V56" s="38">
        <v>-16</v>
      </c>
      <c r="W56" s="38">
        <v>1</v>
      </c>
      <c r="X56" s="106">
        <v>1</v>
      </c>
      <c r="Y56" s="106"/>
      <c r="Z56" s="106"/>
      <c r="AA56" s="106"/>
      <c r="AB56" s="106"/>
      <c r="AC56" s="106"/>
      <c r="AD56" s="38"/>
      <c r="AE56" s="38" t="s">
        <v>45</v>
      </c>
    </row>
    <row r="57" spans="1:31">
      <c r="A57" s="41" t="s">
        <v>379</v>
      </c>
      <c r="B57" s="61" t="s">
        <v>380</v>
      </c>
      <c r="C57" s="61" t="s">
        <v>297</v>
      </c>
      <c r="D57" s="27" t="s">
        <v>33</v>
      </c>
      <c r="E57" s="27" t="s">
        <v>38</v>
      </c>
      <c r="G57" s="35">
        <v>5</v>
      </c>
      <c r="H57" s="38">
        <v>1</v>
      </c>
      <c r="I57" s="38">
        <v>4</v>
      </c>
      <c r="J57" s="38" t="s">
        <v>1417</v>
      </c>
      <c r="K57" s="27" t="s">
        <v>382</v>
      </c>
      <c r="L57" s="47" t="s">
        <v>383</v>
      </c>
      <c r="M57">
        <v>0.966</v>
      </c>
      <c r="N57">
        <v>49</v>
      </c>
      <c r="O57">
        <v>0.0966</v>
      </c>
      <c r="P57">
        <v>0</v>
      </c>
      <c r="Q57">
        <v>270</v>
      </c>
      <c r="R57">
        <v>1</v>
      </c>
      <c r="S57">
        <v>658</v>
      </c>
      <c r="T57" t="s">
        <v>42</v>
      </c>
      <c r="U57" s="38"/>
      <c r="V57" s="38"/>
      <c r="W57" s="38">
        <v>1</v>
      </c>
      <c r="X57" s="106"/>
      <c r="Y57" s="106"/>
      <c r="Z57" s="106"/>
      <c r="AA57" s="106">
        <v>1</v>
      </c>
      <c r="AB57" s="106"/>
      <c r="AC57" s="106"/>
      <c r="AD57" s="38"/>
      <c r="AE57" s="38" t="s">
        <v>45</v>
      </c>
    </row>
    <row r="58" spans="1:31">
      <c r="A58" s="41" t="s">
        <v>384</v>
      </c>
      <c r="B58" s="61" t="s">
        <v>1422</v>
      </c>
      <c r="C58" s="61" t="s">
        <v>297</v>
      </c>
      <c r="D58" s="27" t="s">
        <v>33</v>
      </c>
      <c r="E58" s="27" t="s">
        <v>38</v>
      </c>
      <c r="G58" s="35">
        <v>4</v>
      </c>
      <c r="H58" s="38">
        <v>3</v>
      </c>
      <c r="I58" s="38">
        <v>1</v>
      </c>
      <c r="J58" s="38" t="s">
        <v>1417</v>
      </c>
      <c r="K58" s="27" t="s">
        <v>388</v>
      </c>
      <c r="L58" s="27" t="s">
        <v>389</v>
      </c>
      <c r="M58">
        <v>0.632</v>
      </c>
      <c r="N58">
        <v>0</v>
      </c>
      <c r="O58">
        <v>0.0119</v>
      </c>
      <c r="P58" t="s">
        <v>42</v>
      </c>
      <c r="Q58" t="s">
        <v>42</v>
      </c>
      <c r="R58" t="s">
        <v>42</v>
      </c>
      <c r="S58" t="s">
        <v>42</v>
      </c>
      <c r="T58">
        <v>14</v>
      </c>
      <c r="U58" s="38">
        <v>30</v>
      </c>
      <c r="V58" s="38">
        <v>-16</v>
      </c>
      <c r="W58" s="38">
        <v>1</v>
      </c>
      <c r="X58" s="20">
        <v>1</v>
      </c>
      <c r="Y58" s="106"/>
      <c r="Z58" s="106"/>
      <c r="AA58" s="106"/>
      <c r="AB58" s="106"/>
      <c r="AC58" s="106"/>
      <c r="AD58" s="38"/>
      <c r="AE58" s="38" t="s">
        <v>45</v>
      </c>
    </row>
    <row r="59" spans="1:31">
      <c r="A59" s="41" t="s">
        <v>390</v>
      </c>
      <c r="B59" s="61" t="s">
        <v>391</v>
      </c>
      <c r="C59" s="61" t="s">
        <v>297</v>
      </c>
      <c r="D59" s="27" t="s">
        <v>33</v>
      </c>
      <c r="E59" s="27" t="s">
        <v>38</v>
      </c>
      <c r="G59" s="35">
        <v>7</v>
      </c>
      <c r="H59" s="38">
        <v>2</v>
      </c>
      <c r="I59" s="38">
        <v>5</v>
      </c>
      <c r="J59" s="38" t="s">
        <v>1415</v>
      </c>
      <c r="K59" s="27" t="s">
        <v>394</v>
      </c>
      <c r="L59" s="27" t="s">
        <v>395</v>
      </c>
      <c r="M59">
        <v>0.142</v>
      </c>
      <c r="N59">
        <v>0</v>
      </c>
      <c r="O59">
        <v>0.00727</v>
      </c>
      <c r="P59" t="s">
        <v>42</v>
      </c>
      <c r="Q59" t="s">
        <v>42</v>
      </c>
      <c r="R59" t="s">
        <v>42</v>
      </c>
      <c r="S59" t="s">
        <v>42</v>
      </c>
      <c r="T59">
        <v>0</v>
      </c>
      <c r="U59" s="38">
        <v>45</v>
      </c>
      <c r="V59" s="38">
        <v>-45</v>
      </c>
      <c r="W59" s="38">
        <v>1</v>
      </c>
      <c r="X59" s="20">
        <v>1</v>
      </c>
      <c r="Y59" s="106"/>
      <c r="Z59" s="106"/>
      <c r="AA59" s="106"/>
      <c r="AB59" s="106"/>
      <c r="AC59" s="106"/>
      <c r="AD59" s="38"/>
      <c r="AE59" s="38" t="s">
        <v>45</v>
      </c>
    </row>
    <row r="60" ht="14.05" customHeight="1" spans="1:31">
      <c r="A60" s="41" t="s">
        <v>396</v>
      </c>
      <c r="B60" s="61" t="s">
        <v>397</v>
      </c>
      <c r="C60" s="61" t="s">
        <v>398</v>
      </c>
      <c r="D60" s="27" t="s">
        <v>33</v>
      </c>
      <c r="E60" s="27" t="s">
        <v>38</v>
      </c>
      <c r="G60" s="35">
        <v>25</v>
      </c>
      <c r="H60" s="38">
        <v>10</v>
      </c>
      <c r="I60" s="38">
        <v>15</v>
      </c>
      <c r="J60" s="38" t="s">
        <v>1415</v>
      </c>
      <c r="K60" s="27" t="s">
        <v>401</v>
      </c>
      <c r="L60" s="27" t="s">
        <v>402</v>
      </c>
      <c r="M60">
        <v>0.456</v>
      </c>
      <c r="N60">
        <v>7.5</v>
      </c>
      <c r="O60">
        <v>0.000263</v>
      </c>
      <c r="P60" t="s">
        <v>42</v>
      </c>
      <c r="Q60" t="s">
        <v>42</v>
      </c>
      <c r="R60" t="s">
        <v>42</v>
      </c>
      <c r="S60" t="s">
        <v>42</v>
      </c>
      <c r="T60">
        <v>64</v>
      </c>
      <c r="U60" s="38"/>
      <c r="V60" s="38"/>
      <c r="W60" s="38">
        <v>1</v>
      </c>
      <c r="X60" s="106"/>
      <c r="Y60" s="106"/>
      <c r="Z60" s="106"/>
      <c r="AA60" s="106"/>
      <c r="AB60" s="106"/>
      <c r="AC60" s="106"/>
      <c r="AD60" s="38"/>
      <c r="AE60" s="38" t="s">
        <v>45</v>
      </c>
    </row>
    <row r="61" spans="1:31">
      <c r="A61" s="41" t="s">
        <v>403</v>
      </c>
      <c r="B61" s="61" t="s">
        <v>404</v>
      </c>
      <c r="C61" s="61" t="s">
        <v>405</v>
      </c>
      <c r="D61" s="27" t="s">
        <v>33</v>
      </c>
      <c r="E61" s="27" t="s">
        <v>38</v>
      </c>
      <c r="G61" s="35">
        <v>21</v>
      </c>
      <c r="H61" s="38">
        <v>3</v>
      </c>
      <c r="I61" s="38">
        <v>18</v>
      </c>
      <c r="J61" s="38" t="s">
        <v>1423</v>
      </c>
      <c r="K61" s="27" t="s">
        <v>409</v>
      </c>
      <c r="L61" s="27" t="s">
        <v>410</v>
      </c>
      <c r="M61">
        <v>0.471</v>
      </c>
      <c r="N61">
        <v>67.2</v>
      </c>
      <c r="O61" s="123" t="s">
        <v>408</v>
      </c>
      <c r="P61" t="s">
        <v>42</v>
      </c>
      <c r="Q61" t="s">
        <v>42</v>
      </c>
      <c r="R61" t="s">
        <v>42</v>
      </c>
      <c r="S61" t="s">
        <v>42</v>
      </c>
      <c r="T61">
        <v>887</v>
      </c>
      <c r="U61" s="38"/>
      <c r="V61" s="38"/>
      <c r="W61" s="38">
        <v>1</v>
      </c>
      <c r="Y61" s="106">
        <v>1</v>
      </c>
      <c r="Z61" s="106"/>
      <c r="AA61" s="106"/>
      <c r="AB61" s="106"/>
      <c r="AC61" s="106"/>
      <c r="AD61" s="38"/>
      <c r="AE61" s="38" t="s">
        <v>45</v>
      </c>
    </row>
    <row r="62" spans="1:31">
      <c r="A62" s="41" t="s">
        <v>411</v>
      </c>
      <c r="B62" s="61" t="s">
        <v>412</v>
      </c>
      <c r="C62" s="61" t="s">
        <v>297</v>
      </c>
      <c r="D62" s="27" t="s">
        <v>33</v>
      </c>
      <c r="E62" s="27" t="s">
        <v>38</v>
      </c>
      <c r="G62" s="35">
        <v>40</v>
      </c>
      <c r="H62" s="38">
        <v>9</v>
      </c>
      <c r="I62" s="38">
        <v>31</v>
      </c>
      <c r="J62" s="38" t="s">
        <v>1415</v>
      </c>
      <c r="K62" s="27" t="s">
        <v>415</v>
      </c>
      <c r="L62" s="27" t="s">
        <v>416</v>
      </c>
      <c r="M62" s="48">
        <v>0.0475</v>
      </c>
      <c r="N62" s="40">
        <v>64.7</v>
      </c>
      <c r="O62" s="40">
        <v>0.224</v>
      </c>
      <c r="P62" s="40">
        <v>49</v>
      </c>
      <c r="Q62" s="40">
        <v>73</v>
      </c>
      <c r="R62" s="40">
        <v>128</v>
      </c>
      <c r="S62" s="40">
        <v>100</v>
      </c>
      <c r="T62" t="s">
        <v>42</v>
      </c>
      <c r="U62" s="38"/>
      <c r="V62" s="38"/>
      <c r="W62" s="38">
        <v>1</v>
      </c>
      <c r="X62" s="106">
        <v>1</v>
      </c>
      <c r="Y62" s="106">
        <v>1</v>
      </c>
      <c r="Z62" s="106"/>
      <c r="AA62" s="106">
        <v>1</v>
      </c>
      <c r="AB62" s="106"/>
      <c r="AC62" s="106"/>
      <c r="AD62" s="38"/>
      <c r="AE62" s="38" t="s">
        <v>45</v>
      </c>
    </row>
    <row r="63" spans="1:31">
      <c r="A63" s="41" t="s">
        <v>417</v>
      </c>
      <c r="B63" s="108" t="s">
        <v>412</v>
      </c>
      <c r="C63" s="61" t="s">
        <v>418</v>
      </c>
      <c r="D63" s="27" t="s">
        <v>55</v>
      </c>
      <c r="E63" s="27" t="s">
        <v>59</v>
      </c>
      <c r="G63" s="35">
        <v>13</v>
      </c>
      <c r="H63" s="38">
        <v>0</v>
      </c>
      <c r="I63" s="38">
        <v>13</v>
      </c>
      <c r="J63" s="38" t="s">
        <v>1402</v>
      </c>
      <c r="K63" s="27" t="s">
        <v>420</v>
      </c>
      <c r="L63" s="109" t="s">
        <v>421</v>
      </c>
      <c r="M63" s="40">
        <v>0.0367</v>
      </c>
      <c r="N63" s="40">
        <v>70.6</v>
      </c>
      <c r="O63" s="40">
        <v>0.0553</v>
      </c>
      <c r="P63" s="40">
        <v>0</v>
      </c>
      <c r="Q63" s="40">
        <v>0</v>
      </c>
      <c r="R63" s="40">
        <v>1</v>
      </c>
      <c r="S63" s="40">
        <v>1</v>
      </c>
      <c r="T63" t="s">
        <v>42</v>
      </c>
      <c r="U63" s="38"/>
      <c r="V63" s="38"/>
      <c r="W63" s="38">
        <v>1</v>
      </c>
      <c r="X63" s="38">
        <v>1</v>
      </c>
      <c r="Y63" s="38">
        <v>1</v>
      </c>
      <c r="Z63" s="38"/>
      <c r="AA63" s="38">
        <v>1</v>
      </c>
      <c r="AB63" s="38"/>
      <c r="AC63" s="38"/>
      <c r="AD63" s="38"/>
      <c r="AE63" s="38" t="s">
        <v>45</v>
      </c>
    </row>
    <row r="64" spans="1:31">
      <c r="A64" s="27" t="s">
        <v>422</v>
      </c>
      <c r="B64" s="61" t="s">
        <v>423</v>
      </c>
      <c r="C64" s="61" t="s">
        <v>424</v>
      </c>
      <c r="D64" s="27" t="s">
        <v>33</v>
      </c>
      <c r="E64" s="27" t="s">
        <v>38</v>
      </c>
      <c r="G64" s="35">
        <v>42</v>
      </c>
      <c r="H64" s="38">
        <v>9</v>
      </c>
      <c r="I64" s="38">
        <v>33</v>
      </c>
      <c r="J64" s="38" t="s">
        <v>1401</v>
      </c>
      <c r="K64" s="27" t="s">
        <v>427</v>
      </c>
      <c r="L64" s="27" t="s">
        <v>428</v>
      </c>
      <c r="M64" s="27">
        <v>0.364</v>
      </c>
      <c r="N64" s="27">
        <v>76</v>
      </c>
      <c r="O64" s="27">
        <v>0.626</v>
      </c>
      <c r="P64" s="27">
        <v>598</v>
      </c>
      <c r="Q64" s="27">
        <v>198</v>
      </c>
      <c r="R64" s="27">
        <v>1253</v>
      </c>
      <c r="S64" s="27">
        <v>399</v>
      </c>
      <c r="T64" s="27"/>
      <c r="U64" s="38"/>
      <c r="V64" s="38"/>
      <c r="W64" s="38"/>
      <c r="X64" s="38"/>
      <c r="Y64" s="38">
        <v>1</v>
      </c>
      <c r="Z64" s="38"/>
      <c r="AA64" s="38">
        <v>1</v>
      </c>
      <c r="AB64" s="38"/>
      <c r="AC64" s="38"/>
      <c r="AD64" s="38"/>
      <c r="AE64" s="38" t="s">
        <v>45</v>
      </c>
    </row>
    <row r="65" spans="1:31">
      <c r="A65" s="27" t="s">
        <v>429</v>
      </c>
      <c r="B65" s="61" t="s">
        <v>423</v>
      </c>
      <c r="C65" s="61" t="s">
        <v>424</v>
      </c>
      <c r="D65" s="27" t="s">
        <v>55</v>
      </c>
      <c r="E65" s="27" t="s">
        <v>59</v>
      </c>
      <c r="G65" s="35">
        <v>12</v>
      </c>
      <c r="H65" s="38">
        <v>1</v>
      </c>
      <c r="I65" s="38">
        <v>11</v>
      </c>
      <c r="J65" s="38" t="s">
        <v>1401</v>
      </c>
      <c r="K65" s="27" t="s">
        <v>432</v>
      </c>
      <c r="L65" s="27" t="s">
        <v>433</v>
      </c>
      <c r="M65" s="7">
        <v>0.0521</v>
      </c>
      <c r="N65" s="27">
        <v>74.3</v>
      </c>
      <c r="O65" s="40">
        <v>0.364</v>
      </c>
      <c r="P65" s="40">
        <v>31</v>
      </c>
      <c r="Q65" s="40">
        <v>28</v>
      </c>
      <c r="R65" s="40">
        <v>71</v>
      </c>
      <c r="S65" s="40">
        <v>40</v>
      </c>
      <c r="T65" s="27"/>
      <c r="U65" s="38"/>
      <c r="V65" s="38"/>
      <c r="W65" s="38"/>
      <c r="X65" s="38"/>
      <c r="Y65" s="38">
        <v>1</v>
      </c>
      <c r="Z65" s="38"/>
      <c r="AA65" s="38">
        <v>1</v>
      </c>
      <c r="AB65" s="38"/>
      <c r="AC65" s="38"/>
      <c r="AD65" s="38"/>
      <c r="AE65" s="38" t="s">
        <v>45</v>
      </c>
    </row>
    <row r="66" ht="15.5" spans="1:31">
      <c r="B66" s="32" t="s">
        <v>1424</v>
      </c>
      <c r="C66" s="32"/>
      <c r="E66" s="110"/>
      <c r="G66" s="105"/>
      <c r="H66" s="106"/>
      <c r="I66" s="106"/>
      <c r="J66" s="106"/>
      <c r="O66" s="106"/>
      <c r="P66" s="27"/>
      <c r="Q66" s="27"/>
      <c r="R66" s="27"/>
      <c r="S66" s="27"/>
      <c r="T66" s="27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</row>
    <row r="67" spans="1:31">
      <c r="A67" s="33" t="s">
        <v>435</v>
      </c>
      <c r="B67" s="61" t="s">
        <v>1425</v>
      </c>
      <c r="C67" s="61" t="s">
        <v>437</v>
      </c>
      <c r="D67" s="27" t="s">
        <v>438</v>
      </c>
      <c r="E67" s="27" t="s">
        <v>442</v>
      </c>
      <c r="F67" s="27" t="s">
        <v>67</v>
      </c>
      <c r="G67" s="35">
        <v>52</v>
      </c>
      <c r="H67" s="38">
        <v>26</v>
      </c>
      <c r="I67" s="38">
        <v>26</v>
      </c>
      <c r="J67" s="38" t="s">
        <v>1401</v>
      </c>
      <c r="K67" s="27" t="s">
        <v>443</v>
      </c>
      <c r="L67" s="27" t="s">
        <v>444</v>
      </c>
      <c r="M67" s="123" t="s">
        <v>445</v>
      </c>
      <c r="N67">
        <v>73.4</v>
      </c>
      <c r="O67" s="123" t="s">
        <v>441</v>
      </c>
      <c r="P67" t="s">
        <v>42</v>
      </c>
      <c r="Q67" t="s">
        <v>42</v>
      </c>
      <c r="R67" t="s">
        <v>42</v>
      </c>
      <c r="S67" t="s">
        <v>42</v>
      </c>
      <c r="T67">
        <v>2262</v>
      </c>
      <c r="U67" s="38"/>
      <c r="V67" s="38"/>
      <c r="W67" s="38"/>
      <c r="X67" s="106">
        <v>1</v>
      </c>
      <c r="Y67" s="106">
        <v>1</v>
      </c>
      <c r="Z67" s="106"/>
      <c r="AA67" s="106"/>
      <c r="AB67" s="106"/>
      <c r="AC67" s="106"/>
      <c r="AD67" s="38" t="s">
        <v>1426</v>
      </c>
      <c r="AE67" s="49" t="s">
        <v>45</v>
      </c>
    </row>
    <row r="68" spans="1:31">
      <c r="A68" s="33" t="s">
        <v>446</v>
      </c>
      <c r="B68" s="61" t="s">
        <v>1425</v>
      </c>
      <c r="C68" s="61" t="s">
        <v>437</v>
      </c>
      <c r="D68" s="27" t="s">
        <v>438</v>
      </c>
      <c r="E68" s="27" t="s">
        <v>442</v>
      </c>
      <c r="F68" s="27" t="s">
        <v>447</v>
      </c>
      <c r="G68" s="35">
        <v>11</v>
      </c>
      <c r="H68" s="38">
        <v>3</v>
      </c>
      <c r="I68" s="38">
        <v>8</v>
      </c>
      <c r="J68" s="38" t="s">
        <v>1401</v>
      </c>
      <c r="K68" s="27" t="s">
        <v>450</v>
      </c>
      <c r="L68" s="27" t="s">
        <v>451</v>
      </c>
      <c r="M68" s="40">
        <v>0.0016</v>
      </c>
      <c r="N68" s="40">
        <v>69</v>
      </c>
      <c r="O68" s="40">
        <v>0.0166</v>
      </c>
      <c r="P68" t="s">
        <v>42</v>
      </c>
      <c r="Q68" t="s">
        <v>42</v>
      </c>
      <c r="R68" t="s">
        <v>42</v>
      </c>
      <c r="S68" t="s">
        <v>42</v>
      </c>
      <c r="T68">
        <v>74</v>
      </c>
      <c r="U68" s="38"/>
      <c r="V68" s="38"/>
      <c r="W68" s="38"/>
      <c r="X68" s="106">
        <v>1</v>
      </c>
      <c r="Y68" s="106">
        <v>1</v>
      </c>
      <c r="Z68" s="106"/>
      <c r="AA68" s="106"/>
      <c r="AB68" s="106"/>
      <c r="AC68" s="106"/>
      <c r="AD68" s="38" t="s">
        <v>1426</v>
      </c>
      <c r="AE68" s="49" t="s">
        <v>45</v>
      </c>
    </row>
    <row r="69" spans="1:31">
      <c r="A69" s="33" t="s">
        <v>452</v>
      </c>
      <c r="B69" s="61" t="s">
        <v>1425</v>
      </c>
      <c r="C69" s="61" t="s">
        <v>437</v>
      </c>
      <c r="D69" s="27" t="s">
        <v>438</v>
      </c>
      <c r="E69" s="27" t="s">
        <v>442</v>
      </c>
      <c r="F69" s="27" t="s">
        <v>453</v>
      </c>
      <c r="G69" s="35">
        <v>9</v>
      </c>
      <c r="H69" s="38">
        <v>5</v>
      </c>
      <c r="I69" s="38">
        <v>4</v>
      </c>
      <c r="J69" s="38" t="s">
        <v>1401</v>
      </c>
      <c r="K69" s="27" t="s">
        <v>456</v>
      </c>
      <c r="L69" s="47" t="s">
        <v>455</v>
      </c>
      <c r="M69" s="40">
        <v>0.0163</v>
      </c>
      <c r="N69" s="40">
        <v>96.2</v>
      </c>
      <c r="O69" s="40">
        <v>0.0645</v>
      </c>
      <c r="P69">
        <v>0</v>
      </c>
      <c r="Q69" t="s">
        <v>159</v>
      </c>
      <c r="R69">
        <v>1</v>
      </c>
      <c r="S69">
        <v>1</v>
      </c>
      <c r="T69" t="s">
        <v>42</v>
      </c>
      <c r="U69" s="38"/>
      <c r="V69" s="38"/>
      <c r="W69" s="38"/>
      <c r="X69" s="106">
        <v>1</v>
      </c>
      <c r="Y69" s="106">
        <v>1</v>
      </c>
      <c r="Z69" s="106"/>
      <c r="AA69" s="106"/>
      <c r="AB69" s="106"/>
      <c r="AC69" s="106"/>
      <c r="AD69" s="38" t="s">
        <v>1426</v>
      </c>
      <c r="AE69" s="49" t="s">
        <v>45</v>
      </c>
    </row>
    <row r="70" spans="1:31">
      <c r="A70" s="33" t="s">
        <v>457</v>
      </c>
      <c r="B70" s="61" t="s">
        <v>1425</v>
      </c>
      <c r="C70" s="61" t="s">
        <v>437</v>
      </c>
      <c r="D70" s="27" t="s">
        <v>438</v>
      </c>
      <c r="E70" s="27" t="s">
        <v>442</v>
      </c>
      <c r="F70" s="27" t="s">
        <v>458</v>
      </c>
      <c r="G70" s="35">
        <v>9</v>
      </c>
      <c r="H70" s="38">
        <v>3</v>
      </c>
      <c r="I70" s="38">
        <v>6</v>
      </c>
      <c r="J70" s="38" t="s">
        <v>1401</v>
      </c>
      <c r="K70" s="27" t="s">
        <v>461</v>
      </c>
      <c r="L70" s="27" t="s">
        <v>462</v>
      </c>
      <c r="M70" s="40">
        <v>0.57</v>
      </c>
      <c r="N70" s="40">
        <v>45.5</v>
      </c>
      <c r="O70" s="40">
        <v>0.00597</v>
      </c>
      <c r="P70" t="s">
        <v>42</v>
      </c>
      <c r="Q70" t="s">
        <v>42</v>
      </c>
      <c r="R70" t="s">
        <v>42</v>
      </c>
      <c r="S70" t="s">
        <v>42</v>
      </c>
      <c r="T70" s="40">
        <v>112</v>
      </c>
      <c r="U70" s="38">
        <v>55</v>
      </c>
      <c r="V70" s="38">
        <v>57</v>
      </c>
      <c r="W70" s="38"/>
      <c r="X70" s="106"/>
      <c r="Y70" s="106"/>
      <c r="Z70" s="106"/>
      <c r="AA70" s="106"/>
      <c r="AB70" s="106"/>
      <c r="AC70" s="106"/>
      <c r="AD70" s="38" t="s">
        <v>1426</v>
      </c>
      <c r="AE70" s="49" t="s">
        <v>146</v>
      </c>
    </row>
    <row r="71" spans="1:31">
      <c r="A71" s="33" t="s">
        <v>463</v>
      </c>
      <c r="B71" s="61" t="s">
        <v>1425</v>
      </c>
      <c r="C71" s="61" t="s">
        <v>437</v>
      </c>
      <c r="D71" s="27" t="s">
        <v>438</v>
      </c>
      <c r="E71" s="27" t="s">
        <v>442</v>
      </c>
      <c r="F71" s="27" t="s">
        <v>464</v>
      </c>
      <c r="G71" s="35">
        <v>4</v>
      </c>
      <c r="H71" s="38">
        <v>2</v>
      </c>
      <c r="I71" s="38">
        <v>2</v>
      </c>
      <c r="J71" s="38" t="s">
        <v>1401</v>
      </c>
      <c r="K71" s="27" t="s">
        <v>467</v>
      </c>
      <c r="L71" s="27" t="s">
        <v>468</v>
      </c>
      <c r="M71" s="40">
        <v>0.105</v>
      </c>
      <c r="N71" s="40">
        <v>81.8</v>
      </c>
      <c r="O71" s="40">
        <v>0.149</v>
      </c>
      <c r="P71" s="40">
        <v>0</v>
      </c>
      <c r="Q71" s="40">
        <v>0</v>
      </c>
      <c r="R71" s="40">
        <v>2</v>
      </c>
      <c r="S71" s="40">
        <v>6</v>
      </c>
      <c r="T71" t="s">
        <v>42</v>
      </c>
      <c r="U71" s="38"/>
      <c r="V71" s="38"/>
      <c r="W71" s="38"/>
      <c r="X71" s="106">
        <v>1</v>
      </c>
      <c r="Y71" s="106">
        <v>1</v>
      </c>
      <c r="Z71" s="106"/>
      <c r="AA71" s="106">
        <v>1</v>
      </c>
      <c r="AB71" s="106"/>
      <c r="AC71" s="106"/>
      <c r="AD71" s="38" t="s">
        <v>1426</v>
      </c>
      <c r="AE71" s="49" t="s">
        <v>45</v>
      </c>
    </row>
    <row r="72" spans="1:31">
      <c r="A72" s="33" t="s">
        <v>469</v>
      </c>
      <c r="B72" s="61" t="s">
        <v>1425</v>
      </c>
      <c r="C72" s="61" t="s">
        <v>437</v>
      </c>
      <c r="D72" s="27" t="s">
        <v>438</v>
      </c>
      <c r="E72" s="27" t="s">
        <v>442</v>
      </c>
      <c r="F72" s="27" t="s">
        <v>470</v>
      </c>
      <c r="G72" s="35">
        <v>6</v>
      </c>
      <c r="H72" s="38">
        <v>5</v>
      </c>
      <c r="I72" s="38">
        <v>1</v>
      </c>
      <c r="J72" s="38" t="s">
        <v>1401</v>
      </c>
      <c r="K72" s="27" t="s">
        <v>473</v>
      </c>
      <c r="L72" s="27" t="s">
        <v>474</v>
      </c>
      <c r="M72">
        <v>0.219</v>
      </c>
      <c r="N72">
        <v>0</v>
      </c>
      <c r="O72">
        <v>0.00417</v>
      </c>
      <c r="P72" t="s">
        <v>42</v>
      </c>
      <c r="Q72" t="s">
        <v>42</v>
      </c>
      <c r="R72" t="s">
        <v>42</v>
      </c>
      <c r="S72" t="s">
        <v>42</v>
      </c>
      <c r="T72">
        <v>7</v>
      </c>
      <c r="U72" s="38">
        <v>40</v>
      </c>
      <c r="V72" s="38">
        <v>-33</v>
      </c>
      <c r="W72" s="38"/>
      <c r="X72" s="106">
        <v>1</v>
      </c>
      <c r="Y72" s="106"/>
      <c r="Z72" s="106"/>
      <c r="AA72" s="106"/>
      <c r="AB72" s="106"/>
      <c r="AC72" s="106"/>
      <c r="AD72" s="38" t="s">
        <v>1427</v>
      </c>
      <c r="AE72" s="49" t="s">
        <v>62</v>
      </c>
    </row>
    <row r="73" spans="1:31">
      <c r="A73" s="41" t="s">
        <v>475</v>
      </c>
      <c r="B73" s="61" t="s">
        <v>476</v>
      </c>
      <c r="C73" s="61" t="s">
        <v>437</v>
      </c>
      <c r="D73" s="27" t="s">
        <v>438</v>
      </c>
      <c r="E73" s="27" t="s">
        <v>442</v>
      </c>
      <c r="G73" s="35">
        <v>34</v>
      </c>
      <c r="H73" s="38">
        <v>15</v>
      </c>
      <c r="I73" s="38">
        <v>19</v>
      </c>
      <c r="J73" s="38" t="s">
        <v>1401</v>
      </c>
      <c r="K73" s="27" t="s">
        <v>481</v>
      </c>
      <c r="L73" s="27" t="s">
        <v>482</v>
      </c>
      <c r="M73" s="123" t="s">
        <v>483</v>
      </c>
      <c r="N73">
        <v>78.3</v>
      </c>
      <c r="O73" s="123" t="s">
        <v>480</v>
      </c>
      <c r="P73" t="s">
        <v>42</v>
      </c>
      <c r="Q73" t="s">
        <v>42</v>
      </c>
      <c r="R73" t="s">
        <v>42</v>
      </c>
      <c r="S73" t="s">
        <v>42</v>
      </c>
      <c r="T73">
        <v>798</v>
      </c>
      <c r="U73" s="38"/>
      <c r="V73" s="38"/>
      <c r="W73" s="38"/>
      <c r="X73" s="106">
        <v>1</v>
      </c>
      <c r="Y73" s="106">
        <v>1</v>
      </c>
      <c r="Z73" s="106"/>
      <c r="AA73" s="106"/>
      <c r="AB73" s="106"/>
      <c r="AC73" s="106"/>
      <c r="AD73" s="38"/>
      <c r="AE73" s="38" t="s">
        <v>45</v>
      </c>
    </row>
    <row r="74" spans="1:31">
      <c r="A74" s="41" t="s">
        <v>484</v>
      </c>
      <c r="B74" s="61" t="s">
        <v>485</v>
      </c>
      <c r="C74" s="61" t="s">
        <v>486</v>
      </c>
      <c r="D74" s="27" t="s">
        <v>438</v>
      </c>
      <c r="E74" s="27" t="s">
        <v>442</v>
      </c>
      <c r="G74" s="55">
        <v>38</v>
      </c>
      <c r="H74" s="38">
        <v>21</v>
      </c>
      <c r="I74" s="38">
        <v>17</v>
      </c>
      <c r="J74" s="38" t="s">
        <v>1404</v>
      </c>
      <c r="K74" s="38" t="s">
        <v>489</v>
      </c>
      <c r="L74" s="38" t="s">
        <v>488</v>
      </c>
      <c r="M74" s="40">
        <v>9.85e-7</v>
      </c>
      <c r="N74" s="40">
        <v>69.1</v>
      </c>
      <c r="O74" s="40">
        <v>2.35e-7</v>
      </c>
      <c r="R74" t="s">
        <v>42</v>
      </c>
      <c r="S74" t="s">
        <v>42</v>
      </c>
      <c r="T74" s="40">
        <v>1218</v>
      </c>
      <c r="U74" s="38"/>
      <c r="V74" s="38"/>
      <c r="W74" s="38">
        <v>1</v>
      </c>
      <c r="X74" s="38">
        <v>1</v>
      </c>
      <c r="Y74" s="38">
        <v>1</v>
      </c>
      <c r="Z74" s="38"/>
      <c r="AA74" s="38"/>
      <c r="AB74" s="38"/>
      <c r="AC74" s="38"/>
      <c r="AD74" s="38"/>
      <c r="AE74" s="38" t="s">
        <v>45</v>
      </c>
    </row>
    <row r="75" spans="1:31">
      <c r="A75" s="41" t="s">
        <v>490</v>
      </c>
      <c r="B75" s="61" t="s">
        <v>491</v>
      </c>
      <c r="C75" s="61" t="s">
        <v>492</v>
      </c>
      <c r="D75" s="27" t="s">
        <v>438</v>
      </c>
      <c r="E75" s="27" t="s">
        <v>442</v>
      </c>
      <c r="G75" s="35">
        <v>6</v>
      </c>
      <c r="H75" s="38">
        <v>0</v>
      </c>
      <c r="I75" s="38">
        <v>6</v>
      </c>
      <c r="J75" s="38" t="s">
        <v>1428</v>
      </c>
      <c r="K75" s="27" t="s">
        <v>495</v>
      </c>
      <c r="L75" s="27" t="s">
        <v>496</v>
      </c>
      <c r="M75">
        <v>0.475</v>
      </c>
      <c r="N75">
        <v>35.7</v>
      </c>
      <c r="O75">
        <v>0.0316</v>
      </c>
      <c r="P75" t="s">
        <v>42</v>
      </c>
      <c r="Q75" t="s">
        <v>42</v>
      </c>
      <c r="R75" t="s">
        <v>42</v>
      </c>
      <c r="S75" t="s">
        <v>42</v>
      </c>
      <c r="T75">
        <v>14</v>
      </c>
      <c r="U75" s="38">
        <v>40</v>
      </c>
      <c r="V75" s="38">
        <v>-26</v>
      </c>
      <c r="W75" s="38"/>
      <c r="X75" s="106">
        <v>1</v>
      </c>
      <c r="Y75" s="106"/>
      <c r="Z75" s="106"/>
      <c r="AA75" s="106"/>
      <c r="AB75" s="106"/>
      <c r="AC75" s="106"/>
      <c r="AD75" s="38"/>
      <c r="AE75" s="38" t="s">
        <v>45</v>
      </c>
    </row>
    <row r="76" spans="1:31">
      <c r="A76" s="27" t="s">
        <v>497</v>
      </c>
      <c r="B76" s="61" t="s">
        <v>498</v>
      </c>
      <c r="C76" s="61" t="s">
        <v>499</v>
      </c>
      <c r="D76" s="27" t="s">
        <v>500</v>
      </c>
      <c r="E76" s="27" t="s">
        <v>504</v>
      </c>
      <c r="G76" s="35">
        <v>4</v>
      </c>
      <c r="H76" s="38">
        <v>1</v>
      </c>
      <c r="I76" s="38">
        <v>3</v>
      </c>
      <c r="J76" s="38" t="s">
        <v>1429</v>
      </c>
      <c r="K76" s="27" t="s">
        <v>505</v>
      </c>
      <c r="L76" s="27" t="s">
        <v>506</v>
      </c>
      <c r="M76" s="7">
        <v>0.0881</v>
      </c>
      <c r="N76" s="27">
        <v>0</v>
      </c>
      <c r="O76" s="27">
        <v>0.173</v>
      </c>
      <c r="P76" s="40">
        <v>1</v>
      </c>
      <c r="Q76" s="40">
        <v>1</v>
      </c>
      <c r="R76" s="40">
        <v>3</v>
      </c>
      <c r="S76" s="40">
        <v>2</v>
      </c>
      <c r="T76" s="27"/>
      <c r="U76" s="38"/>
      <c r="V76" s="38"/>
      <c r="W76" s="38"/>
      <c r="X76" s="106">
        <v>1</v>
      </c>
      <c r="Y76" s="106"/>
      <c r="Z76" s="106"/>
      <c r="AA76" s="106">
        <v>1</v>
      </c>
      <c r="AB76" s="106"/>
      <c r="AC76" s="106"/>
      <c r="AD76" s="38"/>
      <c r="AE76" s="38" t="s">
        <v>45</v>
      </c>
    </row>
    <row r="77" spans="1:31">
      <c r="A77" s="27" t="s">
        <v>507</v>
      </c>
      <c r="B77" s="61" t="s">
        <v>498</v>
      </c>
      <c r="C77" s="61" t="s">
        <v>499</v>
      </c>
      <c r="D77" s="27" t="s">
        <v>33</v>
      </c>
      <c r="E77" s="27" t="s">
        <v>38</v>
      </c>
      <c r="G77" s="35">
        <v>4</v>
      </c>
      <c r="H77" s="38">
        <v>3</v>
      </c>
      <c r="I77" s="38">
        <v>1</v>
      </c>
      <c r="J77" s="38" t="s">
        <v>1429</v>
      </c>
      <c r="K77" s="27" t="s">
        <v>510</v>
      </c>
      <c r="L77" s="27" t="s">
        <v>511</v>
      </c>
      <c r="M77" s="40">
        <v>0.218</v>
      </c>
      <c r="N77" s="40">
        <v>45.8</v>
      </c>
      <c r="O77" s="40">
        <v>0.701</v>
      </c>
      <c r="P77" s="40">
        <v>87</v>
      </c>
      <c r="Q77" s="40">
        <v>354</v>
      </c>
      <c r="R77" s="40">
        <v>181</v>
      </c>
      <c r="S77" s="40">
        <v>698</v>
      </c>
      <c r="T77" s="27"/>
      <c r="U77" s="38"/>
      <c r="V77" s="38"/>
      <c r="W77" s="38"/>
      <c r="X77" s="106"/>
      <c r="Y77" s="106"/>
      <c r="Z77" s="106"/>
      <c r="AA77" s="106">
        <v>1</v>
      </c>
      <c r="AB77" s="106"/>
      <c r="AC77" s="106"/>
      <c r="AD77" s="38"/>
      <c r="AE77" s="38" t="s">
        <v>45</v>
      </c>
    </row>
    <row r="78" spans="1:31">
      <c r="A78" s="41" t="s">
        <v>512</v>
      </c>
      <c r="B78" s="61" t="s">
        <v>513</v>
      </c>
      <c r="C78" s="61" t="s">
        <v>514</v>
      </c>
      <c r="D78" s="27" t="s">
        <v>33</v>
      </c>
      <c r="E78" s="27" t="s">
        <v>38</v>
      </c>
      <c r="G78" s="35">
        <v>15</v>
      </c>
      <c r="H78" s="38">
        <v>15</v>
      </c>
      <c r="I78" s="38">
        <v>0</v>
      </c>
      <c r="J78" s="38" t="s">
        <v>1404</v>
      </c>
      <c r="K78" s="27">
        <v>73448</v>
      </c>
      <c r="L78" s="27" t="s">
        <v>518</v>
      </c>
      <c r="M78">
        <v>0.0756</v>
      </c>
      <c r="N78">
        <v>0</v>
      </c>
      <c r="O78">
        <v>0.0183</v>
      </c>
      <c r="P78" t="s">
        <v>42</v>
      </c>
      <c r="Q78" t="s">
        <v>42</v>
      </c>
      <c r="R78" t="s">
        <v>42</v>
      </c>
      <c r="S78" t="s">
        <v>42</v>
      </c>
      <c r="T78">
        <v>44</v>
      </c>
      <c r="U78" s="38"/>
      <c r="V78" s="38"/>
      <c r="W78" s="38">
        <v>1</v>
      </c>
      <c r="X78" s="106"/>
      <c r="Y78" s="106"/>
      <c r="Z78" s="106"/>
      <c r="AA78" s="106"/>
      <c r="AB78" s="106"/>
      <c r="AC78" s="106"/>
      <c r="AD78" s="38"/>
      <c r="AE78" s="38" t="s">
        <v>45</v>
      </c>
    </row>
    <row r="79" spans="1:31">
      <c r="A79" s="41" t="s">
        <v>519</v>
      </c>
      <c r="B79" s="61" t="s">
        <v>513</v>
      </c>
      <c r="C79" s="61" t="s">
        <v>499</v>
      </c>
      <c r="D79" s="27" t="s">
        <v>520</v>
      </c>
      <c r="E79" s="27" t="s">
        <v>523</v>
      </c>
      <c r="G79" s="35">
        <v>13</v>
      </c>
      <c r="H79" s="38">
        <v>9</v>
      </c>
      <c r="I79" s="38">
        <v>4</v>
      </c>
      <c r="J79" s="38" t="s">
        <v>1428</v>
      </c>
      <c r="K79" s="27">
        <v>159701</v>
      </c>
      <c r="L79" s="27" t="s">
        <v>524</v>
      </c>
      <c r="M79">
        <v>0.568</v>
      </c>
      <c r="N79">
        <v>50.7</v>
      </c>
      <c r="O79">
        <v>0.00148</v>
      </c>
      <c r="P79" t="s">
        <v>42</v>
      </c>
      <c r="Q79" t="s">
        <v>42</v>
      </c>
      <c r="R79" t="s">
        <v>42</v>
      </c>
      <c r="S79" t="s">
        <v>42</v>
      </c>
      <c r="T79">
        <v>107</v>
      </c>
      <c r="U79" s="38"/>
      <c r="V79" s="38"/>
      <c r="W79" s="38"/>
      <c r="X79" s="106"/>
      <c r="Y79" s="106">
        <v>1</v>
      </c>
      <c r="Z79" s="106"/>
      <c r="AA79" s="106"/>
      <c r="AB79" s="106"/>
      <c r="AC79" s="106"/>
      <c r="AD79" s="38"/>
      <c r="AE79" s="38" t="s">
        <v>45</v>
      </c>
    </row>
    <row r="80" spans="1:31">
      <c r="A80" s="41" t="s">
        <v>525</v>
      </c>
      <c r="B80" s="61" t="s">
        <v>526</v>
      </c>
      <c r="C80" s="61" t="s">
        <v>514</v>
      </c>
      <c r="D80" s="27" t="s">
        <v>33</v>
      </c>
      <c r="E80" s="27" t="s">
        <v>38</v>
      </c>
      <c r="G80" s="35">
        <v>6</v>
      </c>
      <c r="H80" s="38">
        <v>6</v>
      </c>
      <c r="I80" s="38">
        <v>0</v>
      </c>
      <c r="J80" s="38" t="s">
        <v>1404</v>
      </c>
      <c r="K80" s="27">
        <v>31459</v>
      </c>
      <c r="L80" s="27" t="s">
        <v>528</v>
      </c>
      <c r="M80">
        <v>0.666</v>
      </c>
      <c r="N80">
        <v>73.1</v>
      </c>
      <c r="O80">
        <v>0.635</v>
      </c>
      <c r="P80">
        <v>73</v>
      </c>
      <c r="Q80">
        <v>30</v>
      </c>
      <c r="R80">
        <v>153</v>
      </c>
      <c r="S80">
        <v>60</v>
      </c>
      <c r="T80" t="s">
        <v>42</v>
      </c>
      <c r="U80" s="38"/>
      <c r="V80" s="38"/>
      <c r="W80" s="38">
        <v>1</v>
      </c>
      <c r="X80" s="106"/>
      <c r="Y80" s="106">
        <v>1</v>
      </c>
      <c r="Z80" s="106"/>
      <c r="AA80" s="106">
        <v>1</v>
      </c>
      <c r="AB80" s="106"/>
      <c r="AC80" s="106"/>
      <c r="AD80" s="38"/>
      <c r="AE80" s="38" t="s">
        <v>45</v>
      </c>
    </row>
    <row r="81" spans="1:31">
      <c r="A81" s="41" t="s">
        <v>529</v>
      </c>
      <c r="B81" s="61" t="s">
        <v>526</v>
      </c>
      <c r="C81" s="61" t="s">
        <v>499</v>
      </c>
      <c r="D81" s="27" t="s">
        <v>520</v>
      </c>
      <c r="E81" s="27" t="s">
        <v>523</v>
      </c>
      <c r="G81" s="35">
        <v>6</v>
      </c>
      <c r="H81" s="38">
        <v>4</v>
      </c>
      <c r="I81" s="38">
        <v>2</v>
      </c>
      <c r="J81" s="38" t="s">
        <v>1428</v>
      </c>
      <c r="K81" s="27">
        <v>121682</v>
      </c>
      <c r="L81" s="27" t="s">
        <v>532</v>
      </c>
      <c r="M81">
        <v>0.097</v>
      </c>
      <c r="N81">
        <v>90.1</v>
      </c>
      <c r="O81">
        <v>0.741</v>
      </c>
      <c r="P81">
        <v>371</v>
      </c>
      <c r="Q81">
        <v>10</v>
      </c>
      <c r="R81">
        <v>768</v>
      </c>
      <c r="S81">
        <v>15</v>
      </c>
      <c r="T81" t="s">
        <v>42</v>
      </c>
      <c r="U81" s="38"/>
      <c r="V81" s="38"/>
      <c r="W81" s="38"/>
      <c r="X81" s="106"/>
      <c r="Y81" s="106">
        <v>1</v>
      </c>
      <c r="Z81" s="106"/>
      <c r="AA81" s="106">
        <v>1</v>
      </c>
      <c r="AB81" s="106"/>
      <c r="AC81" s="106"/>
      <c r="AD81" s="38"/>
      <c r="AE81" s="38" t="s">
        <v>45</v>
      </c>
    </row>
    <row r="82" spans="1:31">
      <c r="B82" s="32" t="s">
        <v>1430</v>
      </c>
      <c r="C82" s="32"/>
      <c r="G82" s="105"/>
      <c r="H82" s="106"/>
      <c r="I82" s="106"/>
      <c r="J82" s="106"/>
      <c r="O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</row>
    <row r="83" spans="1:31">
      <c r="A83" s="27" t="s">
        <v>534</v>
      </c>
      <c r="B83" s="61" t="s">
        <v>535</v>
      </c>
      <c r="C83" s="61" t="s">
        <v>536</v>
      </c>
      <c r="D83" s="27" t="s">
        <v>33</v>
      </c>
      <c r="E83" s="27" t="s">
        <v>38</v>
      </c>
      <c r="G83" s="35">
        <v>26</v>
      </c>
      <c r="H83" s="38">
        <v>13</v>
      </c>
      <c r="I83" s="38">
        <v>13</v>
      </c>
      <c r="J83" s="38" t="s">
        <v>1401</v>
      </c>
      <c r="K83" s="27" t="s">
        <v>539</v>
      </c>
      <c r="L83" s="27" t="s">
        <v>540</v>
      </c>
      <c r="M83" s="40">
        <v>0.448</v>
      </c>
      <c r="N83" s="40">
        <v>78.7</v>
      </c>
      <c r="O83" s="40">
        <v>1.89e-5</v>
      </c>
      <c r="P83" s="27"/>
      <c r="Q83" s="27"/>
      <c r="R83" s="27"/>
      <c r="S83" s="27"/>
      <c r="T83" s="40">
        <v>731</v>
      </c>
      <c r="U83" s="38"/>
      <c r="V83" s="38"/>
      <c r="W83" s="38"/>
      <c r="X83" s="106"/>
      <c r="Y83" s="106">
        <v>1</v>
      </c>
      <c r="Z83" s="106"/>
      <c r="AA83" s="106"/>
      <c r="AB83" s="106"/>
      <c r="AC83" s="106"/>
      <c r="AD83" s="38"/>
      <c r="AE83" s="38" t="s">
        <v>45</v>
      </c>
    </row>
    <row r="84" spans="1:31">
      <c r="A84" s="27" t="s">
        <v>541</v>
      </c>
      <c r="B84" s="61" t="s">
        <v>535</v>
      </c>
      <c r="C84" s="61" t="s">
        <v>536</v>
      </c>
      <c r="D84" s="27" t="s">
        <v>55</v>
      </c>
      <c r="E84" s="27" t="s">
        <v>59</v>
      </c>
      <c r="G84" s="35">
        <v>11</v>
      </c>
      <c r="H84" s="38">
        <v>6</v>
      </c>
      <c r="I84" s="38">
        <v>5</v>
      </c>
      <c r="J84" s="38" t="s">
        <v>1401</v>
      </c>
      <c r="K84" s="27" t="s">
        <v>544</v>
      </c>
      <c r="L84" s="27" t="s">
        <v>545</v>
      </c>
      <c r="M84" s="40">
        <v>0.22</v>
      </c>
      <c r="N84" s="40">
        <v>55.7</v>
      </c>
      <c r="O84" s="40">
        <v>0.00257</v>
      </c>
      <c r="P84" s="27"/>
      <c r="Q84" s="27"/>
      <c r="R84" s="27"/>
      <c r="S84" s="27"/>
      <c r="T84" s="40">
        <v>92</v>
      </c>
      <c r="U84" s="38"/>
      <c r="V84" s="38"/>
      <c r="W84" s="38"/>
      <c r="X84" s="106"/>
      <c r="Y84" s="106">
        <v>1</v>
      </c>
      <c r="Z84" s="106"/>
      <c r="AA84" s="106"/>
      <c r="AB84" s="106"/>
      <c r="AC84" s="106"/>
      <c r="AD84" s="38"/>
      <c r="AE84" s="38" t="s">
        <v>45</v>
      </c>
    </row>
    <row r="85" spans="1:31">
      <c r="A85" s="41" t="s">
        <v>546</v>
      </c>
      <c r="B85" s="61" t="s">
        <v>535</v>
      </c>
      <c r="C85" s="61" t="s">
        <v>536</v>
      </c>
      <c r="D85" s="28" t="s">
        <v>548</v>
      </c>
      <c r="E85" s="27" t="s">
        <v>552</v>
      </c>
      <c r="G85" s="35">
        <v>30</v>
      </c>
      <c r="H85" s="38">
        <v>14</v>
      </c>
      <c r="I85" s="38">
        <v>16</v>
      </c>
      <c r="J85" s="38" t="s">
        <v>1401</v>
      </c>
      <c r="K85" s="27" t="s">
        <v>553</v>
      </c>
      <c r="L85" s="27" t="s">
        <v>550</v>
      </c>
      <c r="M85" t="s">
        <v>43</v>
      </c>
      <c r="N85" t="s">
        <v>43</v>
      </c>
      <c r="O85" s="38"/>
      <c r="P85" t="s">
        <v>42</v>
      </c>
      <c r="Q85" t="s">
        <v>42</v>
      </c>
      <c r="R85" t="s">
        <v>42</v>
      </c>
      <c r="S85" t="s">
        <v>42</v>
      </c>
      <c r="T85" t="s">
        <v>42</v>
      </c>
      <c r="U85" s="38"/>
      <c r="V85" s="38"/>
      <c r="W85" s="38"/>
      <c r="X85" s="106"/>
      <c r="Y85" s="106"/>
      <c r="Z85" s="106"/>
      <c r="AA85" s="106"/>
      <c r="AB85" s="106"/>
      <c r="AC85" s="106"/>
      <c r="AD85" s="38"/>
      <c r="AE85" s="38"/>
    </row>
    <row r="86" spans="1:31">
      <c r="A86" s="41" t="s">
        <v>555</v>
      </c>
      <c r="B86" s="61" t="s">
        <v>535</v>
      </c>
      <c r="C86" s="61" t="s">
        <v>536</v>
      </c>
      <c r="D86" s="28" t="s">
        <v>556</v>
      </c>
      <c r="E86" s="27" t="s">
        <v>558</v>
      </c>
      <c r="G86" s="35">
        <v>78</v>
      </c>
      <c r="H86" s="38">
        <v>59</v>
      </c>
      <c r="I86" s="38">
        <v>19</v>
      </c>
      <c r="J86" s="38" t="s">
        <v>1401</v>
      </c>
      <c r="K86" s="27" t="s">
        <v>559</v>
      </c>
      <c r="L86" s="27" t="s">
        <v>550</v>
      </c>
      <c r="M86" t="s">
        <v>43</v>
      </c>
      <c r="N86" t="s">
        <v>43</v>
      </c>
      <c r="O86" s="38"/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s="38"/>
      <c r="V86" s="38"/>
      <c r="W86" s="38"/>
      <c r="X86" s="106"/>
      <c r="Y86" s="106"/>
      <c r="Z86" s="106"/>
      <c r="AA86" s="106"/>
      <c r="AB86" s="106"/>
      <c r="AC86" s="106"/>
      <c r="AD86" s="38"/>
      <c r="AE86" s="38"/>
    </row>
    <row r="87" spans="1:31">
      <c r="A87" s="41" t="s">
        <v>560</v>
      </c>
      <c r="B87" s="61" t="s">
        <v>535</v>
      </c>
      <c r="C87" s="61" t="s">
        <v>536</v>
      </c>
      <c r="D87" s="28" t="s">
        <v>562</v>
      </c>
      <c r="E87" s="27" t="s">
        <v>565</v>
      </c>
      <c r="G87" s="55">
        <v>45</v>
      </c>
      <c r="H87" s="38">
        <v>15</v>
      </c>
      <c r="I87" s="38">
        <v>30</v>
      </c>
      <c r="J87" s="38" t="s">
        <v>1401</v>
      </c>
      <c r="K87" s="27" t="s">
        <v>566</v>
      </c>
      <c r="L87" s="27" t="s">
        <v>564</v>
      </c>
      <c r="M87" s="40">
        <v>0.0373</v>
      </c>
      <c r="N87" s="40">
        <v>92.1</v>
      </c>
      <c r="O87">
        <v>3.25e-12</v>
      </c>
      <c r="P87" t="s">
        <v>42</v>
      </c>
      <c r="Q87" t="s">
        <v>42</v>
      </c>
      <c r="R87" t="s">
        <v>42</v>
      </c>
      <c r="S87" t="s">
        <v>42</v>
      </c>
      <c r="T87" s="40">
        <v>10610</v>
      </c>
      <c r="U87" s="38"/>
      <c r="V87" s="38"/>
      <c r="W87" s="38"/>
      <c r="X87" s="106">
        <v>1</v>
      </c>
      <c r="Y87" s="106">
        <v>1</v>
      </c>
      <c r="Z87" s="106"/>
      <c r="AA87" s="106"/>
      <c r="AB87" s="106"/>
      <c r="AC87" s="106"/>
      <c r="AD87" s="38"/>
      <c r="AE87" s="38" t="s">
        <v>45</v>
      </c>
    </row>
    <row r="88" spans="1:31">
      <c r="A88" s="27" t="s">
        <v>567</v>
      </c>
      <c r="B88" s="61" t="s">
        <v>535</v>
      </c>
      <c r="C88" s="61" t="s">
        <v>536</v>
      </c>
      <c r="D88" s="34" t="s">
        <v>568</v>
      </c>
      <c r="E88" s="34" t="s">
        <v>571</v>
      </c>
      <c r="G88" s="35">
        <v>21</v>
      </c>
      <c r="H88" s="38">
        <v>7</v>
      </c>
      <c r="I88" s="38">
        <v>14</v>
      </c>
      <c r="J88" s="38" t="s">
        <v>1401</v>
      </c>
      <c r="K88" s="27" t="s">
        <v>572</v>
      </c>
      <c r="L88" s="27" t="s">
        <v>570</v>
      </c>
      <c r="M88" s="40">
        <v>0.506</v>
      </c>
      <c r="N88" s="40">
        <v>96.7</v>
      </c>
      <c r="O88" s="27">
        <v>8.56e-5</v>
      </c>
      <c r="P88" s="27"/>
      <c r="Q88" s="27"/>
      <c r="R88" s="27"/>
      <c r="S88" s="27"/>
      <c r="T88" s="40">
        <v>5204</v>
      </c>
      <c r="U88" s="38"/>
      <c r="V88" s="38"/>
      <c r="W88" s="38"/>
      <c r="X88" s="106"/>
      <c r="Y88" s="106">
        <v>1</v>
      </c>
      <c r="Z88" s="106"/>
      <c r="AA88" s="106"/>
      <c r="AB88" s="106"/>
      <c r="AC88" s="106"/>
      <c r="AD88" s="38"/>
      <c r="AE88" s="38" t="s">
        <v>45</v>
      </c>
    </row>
    <row r="89" spans="1:31">
      <c r="A89" s="41" t="s">
        <v>573</v>
      </c>
      <c r="B89" s="61" t="s">
        <v>1431</v>
      </c>
      <c r="C89" s="61" t="s">
        <v>536</v>
      </c>
      <c r="D89" s="28" t="s">
        <v>556</v>
      </c>
      <c r="E89" s="27" t="s">
        <v>558</v>
      </c>
      <c r="G89" s="35">
        <v>8</v>
      </c>
      <c r="H89" s="38">
        <v>0</v>
      </c>
      <c r="I89" s="38">
        <v>8</v>
      </c>
      <c r="J89" s="38" t="s">
        <v>1401</v>
      </c>
      <c r="K89" s="27" t="s">
        <v>576</v>
      </c>
      <c r="L89" s="27" t="s">
        <v>577</v>
      </c>
      <c r="M89">
        <v>0.0286</v>
      </c>
      <c r="N89">
        <v>58.9</v>
      </c>
      <c r="O89" s="40">
        <v>0.00236</v>
      </c>
      <c r="P89" t="s">
        <v>42</v>
      </c>
      <c r="Q89" t="s">
        <v>42</v>
      </c>
      <c r="R89" t="s">
        <v>42</v>
      </c>
      <c r="S89" t="s">
        <v>42</v>
      </c>
      <c r="T89" s="40">
        <v>73</v>
      </c>
      <c r="U89" s="38">
        <v>50</v>
      </c>
      <c r="V89" s="38">
        <v>23</v>
      </c>
      <c r="W89" s="38"/>
      <c r="X89" s="106">
        <v>1</v>
      </c>
      <c r="Y89" s="106">
        <v>1</v>
      </c>
      <c r="Z89" s="106"/>
      <c r="AA89" s="106"/>
      <c r="AB89" s="106"/>
      <c r="AC89" s="106"/>
      <c r="AD89" s="38"/>
      <c r="AE89" s="38" t="s">
        <v>45</v>
      </c>
    </row>
    <row r="90" spans="1:31">
      <c r="A90" s="41" t="s">
        <v>578</v>
      </c>
      <c r="B90" s="111" t="s">
        <v>579</v>
      </c>
      <c r="C90" s="61" t="s">
        <v>580</v>
      </c>
      <c r="D90" s="28" t="s">
        <v>562</v>
      </c>
      <c r="E90" s="27" t="s">
        <v>565</v>
      </c>
      <c r="G90" s="35">
        <v>10</v>
      </c>
      <c r="H90" s="38">
        <v>5</v>
      </c>
      <c r="I90" s="38">
        <v>5</v>
      </c>
      <c r="J90" s="38" t="s">
        <v>1404</v>
      </c>
      <c r="K90" s="27" t="s">
        <v>583</v>
      </c>
      <c r="L90" s="47" t="s">
        <v>584</v>
      </c>
      <c r="M90">
        <v>0.785</v>
      </c>
      <c r="N90">
        <v>83.3</v>
      </c>
      <c r="O90">
        <v>0.0527</v>
      </c>
      <c r="P90">
        <v>0</v>
      </c>
      <c r="Q90" t="s">
        <v>159</v>
      </c>
      <c r="R90">
        <v>1</v>
      </c>
      <c r="S90">
        <v>1</v>
      </c>
      <c r="T90" t="s">
        <v>42</v>
      </c>
      <c r="U90" s="38"/>
      <c r="V90" s="38"/>
      <c r="W90" s="38">
        <v>1</v>
      </c>
      <c r="X90" s="106"/>
      <c r="Y90" s="106">
        <v>1</v>
      </c>
      <c r="Z90" s="106"/>
      <c r="AA90" s="106">
        <v>1</v>
      </c>
      <c r="AB90" s="106"/>
      <c r="AC90" s="106"/>
      <c r="AD90" s="38"/>
      <c r="AE90" s="38" t="s">
        <v>45</v>
      </c>
    </row>
    <row r="91" spans="1:31">
      <c r="A91" s="27" t="s">
        <v>585</v>
      </c>
      <c r="B91" s="61" t="s">
        <v>586</v>
      </c>
      <c r="C91" s="61" t="s">
        <v>536</v>
      </c>
      <c r="D91" s="27" t="s">
        <v>33</v>
      </c>
      <c r="E91" s="27" t="s">
        <v>38</v>
      </c>
      <c r="G91" s="35">
        <v>12</v>
      </c>
      <c r="H91" s="38">
        <v>6</v>
      </c>
      <c r="I91" s="38">
        <v>6</v>
      </c>
      <c r="J91" s="38" t="s">
        <v>1401</v>
      </c>
      <c r="K91" s="27" t="s">
        <v>589</v>
      </c>
      <c r="L91" s="27" t="s">
        <v>590</v>
      </c>
      <c r="M91" s="40">
        <v>0.109</v>
      </c>
      <c r="N91" s="40">
        <v>64.6</v>
      </c>
      <c r="O91" s="38"/>
      <c r="P91" s="27"/>
      <c r="Q91" s="27"/>
      <c r="R91" s="27"/>
      <c r="S91" s="27"/>
      <c r="T91" s="40">
        <v>372</v>
      </c>
      <c r="U91" s="38"/>
      <c r="V91" s="38"/>
      <c r="W91" s="38"/>
      <c r="X91" s="106"/>
      <c r="Y91" s="106">
        <v>1</v>
      </c>
      <c r="Z91" s="106"/>
      <c r="AA91" s="106"/>
      <c r="AB91" s="106"/>
      <c r="AC91" s="106"/>
      <c r="AD91" s="38"/>
      <c r="AE91" s="38" t="s">
        <v>45</v>
      </c>
    </row>
    <row r="92" spans="1:31">
      <c r="A92" s="27" t="s">
        <v>591</v>
      </c>
      <c r="B92" s="61" t="s">
        <v>586</v>
      </c>
      <c r="C92" s="61" t="s">
        <v>536</v>
      </c>
      <c r="D92" s="27" t="s">
        <v>55</v>
      </c>
      <c r="E92" s="27" t="s">
        <v>59</v>
      </c>
      <c r="G92" s="35">
        <v>6</v>
      </c>
      <c r="H92" s="38">
        <v>3</v>
      </c>
      <c r="I92" s="38">
        <v>3</v>
      </c>
      <c r="J92" s="38" t="s">
        <v>1401</v>
      </c>
      <c r="K92" s="27" t="s">
        <v>593</v>
      </c>
      <c r="L92" s="27" t="s">
        <v>594</v>
      </c>
      <c r="M92" s="40">
        <v>0.29</v>
      </c>
      <c r="N92" s="27">
        <v>0</v>
      </c>
      <c r="O92" s="38"/>
      <c r="P92" s="27"/>
      <c r="Q92" s="27"/>
      <c r="R92" s="27"/>
      <c r="S92" s="27"/>
      <c r="T92" s="40">
        <v>82</v>
      </c>
      <c r="U92" s="38">
        <v>40</v>
      </c>
      <c r="V92" s="38">
        <v>42</v>
      </c>
      <c r="W92" s="38"/>
      <c r="X92" s="106"/>
      <c r="Y92" s="106"/>
      <c r="Z92" s="106"/>
      <c r="AA92" s="106"/>
      <c r="AB92" s="106"/>
      <c r="AC92" s="106"/>
      <c r="AD92" s="38"/>
      <c r="AE92" s="38" t="s">
        <v>62</v>
      </c>
    </row>
    <row r="93" spans="1:31">
      <c r="A93" s="41" t="s">
        <v>595</v>
      </c>
      <c r="B93" s="61" t="s">
        <v>586</v>
      </c>
      <c r="C93" s="61" t="s">
        <v>536</v>
      </c>
      <c r="D93" s="28" t="s">
        <v>548</v>
      </c>
      <c r="E93" s="34" t="s">
        <v>552</v>
      </c>
      <c r="G93" s="35">
        <v>16</v>
      </c>
      <c r="H93" s="38">
        <v>8</v>
      </c>
      <c r="I93" s="38">
        <v>8</v>
      </c>
      <c r="J93" s="38" t="s">
        <v>1401</v>
      </c>
      <c r="K93" s="27" t="s">
        <v>598</v>
      </c>
      <c r="L93" s="27" t="s">
        <v>550</v>
      </c>
      <c r="M93" t="s">
        <v>43</v>
      </c>
      <c r="N93" t="s">
        <v>43</v>
      </c>
      <c r="O93" s="38"/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s="38"/>
      <c r="V93" s="38"/>
      <c r="W93" s="38"/>
      <c r="X93" s="106"/>
      <c r="Y93" s="106"/>
      <c r="Z93" s="106"/>
      <c r="AA93" s="106"/>
      <c r="AB93" s="106"/>
      <c r="AC93" s="106"/>
      <c r="AD93" s="38"/>
      <c r="AE93" s="38"/>
    </row>
    <row r="94" spans="1:31">
      <c r="A94" s="41" t="s">
        <v>599</v>
      </c>
      <c r="B94" s="61" t="s">
        <v>586</v>
      </c>
      <c r="C94" s="61" t="s">
        <v>536</v>
      </c>
      <c r="D94" s="28" t="s">
        <v>556</v>
      </c>
      <c r="E94" s="27" t="s">
        <v>558</v>
      </c>
      <c r="G94" s="35">
        <v>33</v>
      </c>
      <c r="H94" s="38">
        <v>20</v>
      </c>
      <c r="I94" s="38">
        <v>13</v>
      </c>
      <c r="J94" s="38" t="s">
        <v>1401</v>
      </c>
      <c r="K94" s="27" t="s">
        <v>601</v>
      </c>
      <c r="L94" s="27" t="s">
        <v>550</v>
      </c>
      <c r="M94" t="s">
        <v>43</v>
      </c>
      <c r="N94" t="s">
        <v>43</v>
      </c>
      <c r="O94" s="38"/>
      <c r="P94" t="s">
        <v>42</v>
      </c>
      <c r="Q94" t="s">
        <v>42</v>
      </c>
      <c r="R94" t="s">
        <v>42</v>
      </c>
      <c r="S94" t="s">
        <v>42</v>
      </c>
      <c r="T94" t="s">
        <v>42</v>
      </c>
      <c r="U94" s="38"/>
      <c r="V94" s="38"/>
      <c r="W94" s="38"/>
      <c r="X94" s="106"/>
      <c r="Y94" s="106"/>
      <c r="Z94" s="106"/>
      <c r="AA94" s="106"/>
      <c r="AB94" s="106"/>
      <c r="AC94" s="106"/>
      <c r="AD94" s="38"/>
      <c r="AE94" s="38"/>
    </row>
    <row r="95" spans="1:31">
      <c r="A95" s="41" t="s">
        <v>602</v>
      </c>
      <c r="B95" s="61" t="s">
        <v>586</v>
      </c>
      <c r="C95" s="61" t="s">
        <v>536</v>
      </c>
      <c r="D95" s="28" t="s">
        <v>562</v>
      </c>
      <c r="E95" s="27" t="s">
        <v>565</v>
      </c>
      <c r="G95" s="55">
        <v>17</v>
      </c>
      <c r="H95" s="38">
        <v>4</v>
      </c>
      <c r="I95" s="38">
        <v>13</v>
      </c>
      <c r="J95" s="38" t="s">
        <v>1401</v>
      </c>
      <c r="K95" s="27" t="s">
        <v>606</v>
      </c>
      <c r="L95" s="27" t="s">
        <v>607</v>
      </c>
      <c r="M95" s="40">
        <v>0.228</v>
      </c>
      <c r="N95" s="40">
        <v>83.4</v>
      </c>
      <c r="O95">
        <v>1.94e-8</v>
      </c>
      <c r="P95" t="s">
        <v>42</v>
      </c>
      <c r="Q95" t="s">
        <v>42</v>
      </c>
      <c r="R95" t="s">
        <v>42</v>
      </c>
      <c r="S95" t="s">
        <v>42</v>
      </c>
      <c r="T95" s="40">
        <v>3121</v>
      </c>
      <c r="U95" s="38"/>
      <c r="V95" s="38"/>
      <c r="W95" s="38"/>
      <c r="X95" s="106"/>
      <c r="Y95" s="106">
        <v>1</v>
      </c>
      <c r="Z95" s="106"/>
      <c r="AA95" s="106"/>
      <c r="AB95" s="106"/>
      <c r="AC95" s="106"/>
      <c r="AD95" s="38"/>
      <c r="AE95" s="38" t="s">
        <v>45</v>
      </c>
    </row>
    <row r="96" spans="1:31">
      <c r="A96" s="27" t="s">
        <v>608</v>
      </c>
      <c r="B96" s="61" t="s">
        <v>586</v>
      </c>
      <c r="C96" s="61" t="s">
        <v>536</v>
      </c>
      <c r="D96" s="34" t="s">
        <v>568</v>
      </c>
      <c r="E96" s="34" t="s">
        <v>571</v>
      </c>
      <c r="G96" s="55">
        <v>11</v>
      </c>
      <c r="H96" s="38">
        <v>4</v>
      </c>
      <c r="I96" s="38">
        <v>7</v>
      </c>
      <c r="J96" s="38" t="s">
        <v>1401</v>
      </c>
      <c r="K96" t="s">
        <v>611</v>
      </c>
      <c r="L96" s="27" t="s">
        <v>612</v>
      </c>
      <c r="M96" s="40">
        <v>0.804</v>
      </c>
      <c r="N96" s="40">
        <v>96.4</v>
      </c>
      <c r="O96" s="40">
        <v>0.000914</v>
      </c>
      <c r="P96" s="27"/>
      <c r="Q96" s="27"/>
      <c r="R96" s="27"/>
      <c r="S96" s="27"/>
      <c r="T96" s="40">
        <v>1879</v>
      </c>
      <c r="U96" s="38"/>
      <c r="V96" s="38"/>
      <c r="W96" s="38"/>
      <c r="X96" s="106"/>
      <c r="Y96" s="106">
        <v>1</v>
      </c>
      <c r="Z96" s="106"/>
      <c r="AA96" s="106"/>
      <c r="AB96" s="106"/>
      <c r="AC96" s="106"/>
      <c r="AD96" s="38"/>
      <c r="AE96" s="38" t="s">
        <v>45</v>
      </c>
    </row>
    <row r="97" spans="1:31">
      <c r="A97" s="27" t="s">
        <v>613</v>
      </c>
      <c r="B97" s="61" t="s">
        <v>614</v>
      </c>
      <c r="C97" s="61" t="s">
        <v>615</v>
      </c>
      <c r="D97" s="27" t="s">
        <v>500</v>
      </c>
      <c r="E97" s="27" t="s">
        <v>618</v>
      </c>
      <c r="G97" s="35">
        <v>12</v>
      </c>
      <c r="H97" s="38">
        <v>0</v>
      </c>
      <c r="I97" s="38">
        <v>12</v>
      </c>
      <c r="J97" s="38" t="s">
        <v>1401</v>
      </c>
      <c r="K97" s="27" t="s">
        <v>619</v>
      </c>
      <c r="L97" s="27" t="s">
        <v>620</v>
      </c>
      <c r="M97" s="40">
        <v>0.231</v>
      </c>
      <c r="N97" s="40">
        <v>77</v>
      </c>
      <c r="O97" s="40">
        <v>0.00419</v>
      </c>
      <c r="P97" s="27"/>
      <c r="Q97" s="27"/>
      <c r="R97" s="27"/>
      <c r="S97" s="27"/>
      <c r="T97" s="40">
        <v>160</v>
      </c>
      <c r="U97" s="38"/>
      <c r="V97" s="38"/>
      <c r="W97" s="38"/>
      <c r="X97" s="106"/>
      <c r="Y97" s="106">
        <v>1</v>
      </c>
      <c r="Z97" s="106"/>
      <c r="AA97" s="106"/>
      <c r="AB97" s="106"/>
      <c r="AC97" s="106"/>
      <c r="AD97" s="38"/>
      <c r="AE97" s="38" t="s">
        <v>45</v>
      </c>
    </row>
    <row r="98" spans="1:31">
      <c r="A98" s="41" t="s">
        <v>621</v>
      </c>
      <c r="B98" s="61" t="s">
        <v>622</v>
      </c>
      <c r="C98" s="61" t="s">
        <v>623</v>
      </c>
      <c r="D98" s="28" t="s">
        <v>33</v>
      </c>
      <c r="E98" s="27" t="s">
        <v>38</v>
      </c>
      <c r="G98" s="35">
        <v>7</v>
      </c>
      <c r="H98" s="38">
        <v>4</v>
      </c>
      <c r="I98" s="38">
        <v>3</v>
      </c>
      <c r="J98" s="38" t="s">
        <v>1401</v>
      </c>
      <c r="K98" s="27" t="s">
        <v>626</v>
      </c>
      <c r="L98" s="27" t="s">
        <v>627</v>
      </c>
      <c r="M98">
        <v>0.93</v>
      </c>
      <c r="N98">
        <v>0</v>
      </c>
      <c r="O98">
        <v>0.000199</v>
      </c>
      <c r="P98" t="s">
        <v>42</v>
      </c>
      <c r="Q98" t="s">
        <v>42</v>
      </c>
      <c r="R98" t="s">
        <v>42</v>
      </c>
      <c r="S98" t="s">
        <v>42</v>
      </c>
      <c r="T98">
        <v>90</v>
      </c>
      <c r="U98" s="38">
        <v>45</v>
      </c>
      <c r="V98" s="38">
        <v>45</v>
      </c>
      <c r="W98" s="38"/>
      <c r="X98" s="106"/>
      <c r="Y98" s="106"/>
      <c r="Z98" s="106"/>
      <c r="AA98" s="106"/>
      <c r="AB98" s="106"/>
      <c r="AC98" s="106"/>
      <c r="AD98" s="38"/>
      <c r="AE98" s="38" t="s">
        <v>62</v>
      </c>
    </row>
    <row r="99" spans="1:31">
      <c r="A99" s="41" t="s">
        <v>628</v>
      </c>
      <c r="B99" s="61" t="s">
        <v>622</v>
      </c>
      <c r="C99" s="61" t="s">
        <v>623</v>
      </c>
      <c r="D99" s="27" t="s">
        <v>562</v>
      </c>
      <c r="E99" s="27" t="s">
        <v>565</v>
      </c>
      <c r="G99" s="35">
        <v>8</v>
      </c>
      <c r="H99" s="38">
        <v>2</v>
      </c>
      <c r="I99" s="38">
        <v>6</v>
      </c>
      <c r="J99" s="38" t="s">
        <v>1401</v>
      </c>
      <c r="K99" s="27" t="s">
        <v>632</v>
      </c>
      <c r="L99" s="27" t="s">
        <v>633</v>
      </c>
      <c r="M99">
        <v>0.294</v>
      </c>
      <c r="N99">
        <v>58</v>
      </c>
      <c r="O99">
        <v>0.153</v>
      </c>
      <c r="P99">
        <v>4</v>
      </c>
      <c r="Q99">
        <v>2</v>
      </c>
      <c r="R99">
        <v>13</v>
      </c>
      <c r="S99">
        <v>4</v>
      </c>
      <c r="T99" t="s">
        <v>42</v>
      </c>
      <c r="U99" s="38"/>
      <c r="V99" s="38"/>
      <c r="W99" s="38"/>
      <c r="X99" s="106"/>
      <c r="Y99" s="106">
        <v>1</v>
      </c>
      <c r="Z99" s="106"/>
      <c r="AA99" s="106">
        <v>1</v>
      </c>
      <c r="AB99" s="106"/>
      <c r="AC99" s="106"/>
      <c r="AD99" s="38"/>
      <c r="AE99" s="38" t="s">
        <v>45</v>
      </c>
    </row>
    <row r="100" spans="1:31">
      <c r="A100" s="41" t="s">
        <v>634</v>
      </c>
      <c r="B100" s="61" t="s">
        <v>635</v>
      </c>
      <c r="C100" s="61" t="s">
        <v>636</v>
      </c>
      <c r="D100" s="28" t="s">
        <v>562</v>
      </c>
      <c r="E100" s="27" t="s">
        <v>565</v>
      </c>
      <c r="G100" s="35">
        <v>6</v>
      </c>
      <c r="H100" s="38">
        <v>1</v>
      </c>
      <c r="I100" s="38">
        <v>5</v>
      </c>
      <c r="J100" s="38" t="s">
        <v>1401</v>
      </c>
      <c r="K100" s="27" t="s">
        <v>640</v>
      </c>
      <c r="L100" s="27" t="s">
        <v>641</v>
      </c>
      <c r="M100">
        <v>0.445</v>
      </c>
      <c r="N100">
        <v>0</v>
      </c>
      <c r="O100">
        <v>0.00914</v>
      </c>
      <c r="P100" t="s">
        <v>42</v>
      </c>
      <c r="Q100" t="s">
        <v>42</v>
      </c>
      <c r="R100" t="s">
        <v>42</v>
      </c>
      <c r="S100" t="s">
        <v>42</v>
      </c>
      <c r="T100">
        <v>0</v>
      </c>
      <c r="U100" s="38">
        <v>40</v>
      </c>
      <c r="V100" s="38">
        <v>-40</v>
      </c>
      <c r="W100" s="38"/>
      <c r="X100" s="106">
        <v>1</v>
      </c>
      <c r="Y100" s="106"/>
      <c r="Z100" s="106"/>
      <c r="AA100" s="106"/>
      <c r="AB100" s="106"/>
      <c r="AC100" s="106"/>
      <c r="AD100" s="38"/>
      <c r="AE100" s="38" t="s">
        <v>45</v>
      </c>
    </row>
    <row r="101" spans="1:31">
      <c r="A101" s="41" t="s">
        <v>642</v>
      </c>
      <c r="B101" s="61" t="s">
        <v>643</v>
      </c>
      <c r="C101" s="61" t="s">
        <v>644</v>
      </c>
      <c r="D101" s="28" t="s">
        <v>438</v>
      </c>
      <c r="E101" s="27" t="s">
        <v>442</v>
      </c>
      <c r="G101" s="35">
        <v>15</v>
      </c>
      <c r="H101" s="38">
        <v>3</v>
      </c>
      <c r="I101" s="38">
        <v>12</v>
      </c>
      <c r="J101" s="38" t="s">
        <v>1401</v>
      </c>
      <c r="K101" s="27" t="s">
        <v>647</v>
      </c>
      <c r="L101" s="27" t="s">
        <v>648</v>
      </c>
      <c r="M101">
        <v>0.538</v>
      </c>
      <c r="N101">
        <v>95.8</v>
      </c>
      <c r="O101">
        <v>0.00674</v>
      </c>
      <c r="P101" t="s">
        <v>42</v>
      </c>
      <c r="Q101" t="s">
        <v>42</v>
      </c>
      <c r="R101" t="s">
        <v>42</v>
      </c>
      <c r="S101" t="s">
        <v>42</v>
      </c>
      <c r="T101">
        <v>1237</v>
      </c>
      <c r="U101" s="38"/>
      <c r="V101" s="38"/>
      <c r="W101" s="38"/>
      <c r="X101" s="106"/>
      <c r="Y101" s="106">
        <v>1</v>
      </c>
      <c r="Z101" s="106"/>
      <c r="AA101" s="106"/>
      <c r="AB101" s="106"/>
      <c r="AC101" s="106">
        <v>1</v>
      </c>
      <c r="AD101" s="38"/>
      <c r="AE101" s="49" t="s">
        <v>62</v>
      </c>
    </row>
    <row r="102" spans="1:31">
      <c r="A102" s="41" t="s">
        <v>649</v>
      </c>
      <c r="B102" s="61" t="s">
        <v>650</v>
      </c>
      <c r="C102" s="61" t="s">
        <v>651</v>
      </c>
      <c r="D102" s="27" t="s">
        <v>33</v>
      </c>
      <c r="E102" s="27" t="s">
        <v>38</v>
      </c>
      <c r="G102" s="35">
        <v>5</v>
      </c>
      <c r="H102" s="38">
        <v>5</v>
      </c>
      <c r="I102" s="38">
        <v>0</v>
      </c>
      <c r="J102" s="38" t="s">
        <v>1432</v>
      </c>
      <c r="K102" s="27" t="s">
        <v>654</v>
      </c>
      <c r="L102" s="27" t="s">
        <v>655</v>
      </c>
      <c r="M102">
        <v>0.334</v>
      </c>
      <c r="N102">
        <v>11.6</v>
      </c>
      <c r="O102">
        <v>0.595</v>
      </c>
      <c r="P102">
        <v>69</v>
      </c>
      <c r="Q102">
        <v>4</v>
      </c>
      <c r="R102">
        <v>143</v>
      </c>
      <c r="S102">
        <v>6</v>
      </c>
      <c r="T102" t="s">
        <v>42</v>
      </c>
      <c r="U102" s="38"/>
      <c r="V102" s="38"/>
      <c r="W102" s="38">
        <v>1</v>
      </c>
      <c r="X102" s="106"/>
      <c r="Y102" s="106"/>
      <c r="Z102" s="106"/>
      <c r="AA102" s="106">
        <v>1</v>
      </c>
      <c r="AB102" s="106"/>
      <c r="AC102" s="106"/>
      <c r="AD102" s="38"/>
      <c r="AE102" s="38" t="s">
        <v>45</v>
      </c>
    </row>
    <row r="103" spans="1:31">
      <c r="A103" s="41" t="s">
        <v>656</v>
      </c>
      <c r="B103" s="61" t="s">
        <v>650</v>
      </c>
      <c r="C103" s="61" t="s">
        <v>651</v>
      </c>
      <c r="D103" s="28" t="s">
        <v>562</v>
      </c>
      <c r="E103" s="27" t="s">
        <v>658</v>
      </c>
      <c r="G103" s="35">
        <v>5</v>
      </c>
      <c r="H103" s="38">
        <v>5</v>
      </c>
      <c r="I103" s="38">
        <v>0</v>
      </c>
      <c r="J103" s="38" t="s">
        <v>1432</v>
      </c>
      <c r="K103" s="27" t="s">
        <v>659</v>
      </c>
      <c r="L103" s="27" t="s">
        <v>660</v>
      </c>
      <c r="M103">
        <v>0.179</v>
      </c>
      <c r="N103">
        <v>0</v>
      </c>
      <c r="O103">
        <v>0.499</v>
      </c>
      <c r="P103">
        <v>32</v>
      </c>
      <c r="Q103">
        <v>43</v>
      </c>
      <c r="R103">
        <v>69</v>
      </c>
      <c r="S103">
        <v>74</v>
      </c>
      <c r="T103" t="s">
        <v>42</v>
      </c>
      <c r="U103" s="38"/>
      <c r="V103" s="38"/>
      <c r="W103" s="38">
        <v>1</v>
      </c>
      <c r="X103" s="106"/>
      <c r="Y103" s="106"/>
      <c r="Z103" s="106"/>
      <c r="AA103" s="106">
        <v>1</v>
      </c>
      <c r="AB103" s="106"/>
      <c r="AC103" s="106"/>
      <c r="AD103" s="38"/>
      <c r="AE103" s="38" t="s">
        <v>45</v>
      </c>
    </row>
    <row r="104" spans="1:31">
      <c r="A104" s="41" t="s">
        <v>661</v>
      </c>
      <c r="B104" s="61" t="s">
        <v>1433</v>
      </c>
      <c r="C104" s="61" t="s">
        <v>663</v>
      </c>
      <c r="D104" s="28" t="s">
        <v>438</v>
      </c>
      <c r="E104" s="27" t="s">
        <v>442</v>
      </c>
      <c r="G104" s="35">
        <v>12</v>
      </c>
      <c r="H104" s="38">
        <v>1</v>
      </c>
      <c r="I104" s="38">
        <v>11</v>
      </c>
      <c r="J104" s="38" t="s">
        <v>1404</v>
      </c>
      <c r="K104" s="27" t="s">
        <v>667</v>
      </c>
      <c r="L104" s="27" t="s">
        <v>668</v>
      </c>
      <c r="M104">
        <v>0.785</v>
      </c>
      <c r="N104">
        <v>54.5</v>
      </c>
      <c r="O104" s="123" t="s">
        <v>666</v>
      </c>
      <c r="P104" t="s">
        <v>42</v>
      </c>
      <c r="Q104" t="s">
        <v>42</v>
      </c>
      <c r="R104" t="s">
        <v>42</v>
      </c>
      <c r="S104" t="s">
        <v>42</v>
      </c>
      <c r="T104">
        <v>701</v>
      </c>
      <c r="U104" s="38"/>
      <c r="V104" s="38"/>
      <c r="W104" s="38">
        <v>1</v>
      </c>
      <c r="X104" s="106"/>
      <c r="Y104" s="106">
        <v>1</v>
      </c>
      <c r="Z104" s="106"/>
      <c r="AA104" s="106"/>
      <c r="AB104" s="106"/>
      <c r="AC104" s="106"/>
      <c r="AD104" s="38"/>
      <c r="AE104" s="38" t="s">
        <v>45</v>
      </c>
    </row>
    <row r="105" spans="1:31">
      <c r="A105" s="41" t="s">
        <v>669</v>
      </c>
      <c r="B105" s="61" t="s">
        <v>1434</v>
      </c>
      <c r="C105" s="61" t="s">
        <v>671</v>
      </c>
      <c r="D105" s="28" t="s">
        <v>438</v>
      </c>
      <c r="E105" s="27" t="s">
        <v>442</v>
      </c>
      <c r="G105" s="35">
        <v>26</v>
      </c>
      <c r="H105" s="38">
        <v>1</v>
      </c>
      <c r="I105" s="38">
        <v>25</v>
      </c>
      <c r="J105" s="38" t="s">
        <v>1435</v>
      </c>
      <c r="K105" s="27" t="s">
        <v>675</v>
      </c>
      <c r="L105" s="27" t="s">
        <v>676</v>
      </c>
      <c r="M105">
        <v>0.0815</v>
      </c>
      <c r="N105">
        <v>78.7</v>
      </c>
      <c r="O105" s="123" t="s">
        <v>674</v>
      </c>
      <c r="P105" t="s">
        <v>42</v>
      </c>
      <c r="Q105" t="s">
        <v>42</v>
      </c>
      <c r="R105" t="s">
        <v>42</v>
      </c>
      <c r="S105" t="s">
        <v>42</v>
      </c>
      <c r="T105">
        <v>1855</v>
      </c>
      <c r="U105" s="38"/>
      <c r="V105" s="38"/>
      <c r="W105" s="38">
        <v>1</v>
      </c>
      <c r="X105" s="106"/>
      <c r="Y105" s="106">
        <v>1</v>
      </c>
      <c r="Z105" s="106"/>
      <c r="AA105" s="106"/>
      <c r="AB105" s="106"/>
      <c r="AC105" s="106"/>
      <c r="AD105" s="38"/>
      <c r="AE105" s="38" t="s">
        <v>45</v>
      </c>
    </row>
    <row r="106" spans="1:31">
      <c r="A106" s="41" t="s">
        <v>677</v>
      </c>
      <c r="B106" s="61" t="s">
        <v>678</v>
      </c>
      <c r="C106" s="61" t="s">
        <v>679</v>
      </c>
      <c r="D106" s="28" t="s">
        <v>680</v>
      </c>
      <c r="E106" s="27" t="s">
        <v>684</v>
      </c>
      <c r="G106" s="35">
        <v>63</v>
      </c>
      <c r="H106" s="38">
        <v>9</v>
      </c>
      <c r="I106" s="38">
        <v>54</v>
      </c>
      <c r="J106" s="38" t="s">
        <v>1401</v>
      </c>
      <c r="K106" s="27" t="s">
        <v>685</v>
      </c>
      <c r="L106" s="27" t="s">
        <v>686</v>
      </c>
      <c r="M106">
        <v>0.217</v>
      </c>
      <c r="N106">
        <v>91.8</v>
      </c>
      <c r="O106">
        <v>0.000873</v>
      </c>
      <c r="P106" t="s">
        <v>42</v>
      </c>
      <c r="Q106" t="s">
        <v>42</v>
      </c>
      <c r="R106" t="s">
        <v>42</v>
      </c>
      <c r="S106" t="s">
        <v>42</v>
      </c>
      <c r="T106">
        <v>1556</v>
      </c>
      <c r="U106" s="38"/>
      <c r="V106" s="38"/>
      <c r="W106" s="38"/>
      <c r="X106" s="106"/>
      <c r="Y106" s="106">
        <v>1</v>
      </c>
      <c r="Z106" s="106"/>
      <c r="AA106" s="106"/>
      <c r="AB106" s="106"/>
      <c r="AC106" s="106"/>
      <c r="AD106" s="38"/>
      <c r="AE106" s="38" t="s">
        <v>45</v>
      </c>
    </row>
    <row r="107" spans="1:31">
      <c r="A107" s="41" t="s">
        <v>687</v>
      </c>
      <c r="B107" s="61" t="s">
        <v>688</v>
      </c>
      <c r="C107" s="61" t="s">
        <v>689</v>
      </c>
      <c r="D107" s="27" t="s">
        <v>438</v>
      </c>
      <c r="E107" s="27" t="s">
        <v>442</v>
      </c>
      <c r="F107" s="59"/>
      <c r="G107" s="35">
        <v>6</v>
      </c>
      <c r="H107" s="38">
        <v>4</v>
      </c>
      <c r="I107" s="38">
        <v>2</v>
      </c>
      <c r="J107" s="38" t="s">
        <v>1404</v>
      </c>
      <c r="K107" s="59">
        <v>20317</v>
      </c>
      <c r="L107" s="122" t="s">
        <v>692</v>
      </c>
      <c r="M107">
        <v>0.692</v>
      </c>
      <c r="N107">
        <v>82.1</v>
      </c>
      <c r="O107">
        <v>0.00656</v>
      </c>
      <c r="P107" t="s">
        <v>42</v>
      </c>
      <c r="Q107" t="s">
        <v>42</v>
      </c>
      <c r="R107" t="s">
        <v>42</v>
      </c>
      <c r="S107" t="s">
        <v>42</v>
      </c>
      <c r="T107">
        <v>214</v>
      </c>
      <c r="U107" s="38">
        <v>40</v>
      </c>
      <c r="V107" s="38">
        <v>174</v>
      </c>
      <c r="W107" s="38">
        <v>1</v>
      </c>
      <c r="X107" s="106"/>
      <c r="Y107" s="106">
        <v>1</v>
      </c>
      <c r="Z107" s="106"/>
      <c r="AA107" s="106"/>
      <c r="AB107" s="106"/>
      <c r="AC107" s="106"/>
      <c r="AD107" s="38"/>
      <c r="AE107" s="38" t="s">
        <v>45</v>
      </c>
    </row>
    <row r="108" spans="1:31">
      <c r="B108" s="29" t="s">
        <v>693</v>
      </c>
      <c r="C108" s="32"/>
      <c r="G108" s="105"/>
      <c r="H108" s="106"/>
      <c r="I108" s="106"/>
      <c r="J108" s="106"/>
      <c r="O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</row>
    <row r="109" spans="1:31">
      <c r="A109" s="33" t="s">
        <v>694</v>
      </c>
      <c r="B109" s="61" t="s">
        <v>1436</v>
      </c>
      <c r="C109" s="61" t="s">
        <v>696</v>
      </c>
      <c r="D109" s="27" t="s">
        <v>438</v>
      </c>
      <c r="E109" s="27" t="s">
        <v>442</v>
      </c>
      <c r="F109" s="27" t="s">
        <v>67</v>
      </c>
      <c r="G109" s="35">
        <v>82</v>
      </c>
      <c r="H109" s="38">
        <v>25</v>
      </c>
      <c r="I109" s="38">
        <v>57</v>
      </c>
      <c r="J109" s="38" t="s">
        <v>1404</v>
      </c>
      <c r="K109" s="27" t="s">
        <v>699</v>
      </c>
      <c r="L109" s="27" t="s">
        <v>700</v>
      </c>
      <c r="M109">
        <v>0.000541</v>
      </c>
      <c r="N109">
        <v>46.5</v>
      </c>
      <c r="O109" s="123" t="s">
        <v>698</v>
      </c>
      <c r="P109" t="s">
        <v>42</v>
      </c>
      <c r="Q109" t="s">
        <v>42</v>
      </c>
      <c r="R109" t="s">
        <v>42</v>
      </c>
      <c r="S109" t="s">
        <v>42</v>
      </c>
      <c r="T109">
        <v>2301</v>
      </c>
      <c r="U109" s="38"/>
      <c r="V109" s="38"/>
      <c r="W109" s="38">
        <v>1</v>
      </c>
      <c r="X109" s="106">
        <v>1</v>
      </c>
      <c r="Y109" s="106"/>
      <c r="Z109" s="106"/>
      <c r="AA109" s="106"/>
      <c r="AB109" s="106"/>
      <c r="AC109" s="106"/>
      <c r="AD109" s="38" t="s">
        <v>1437</v>
      </c>
      <c r="AE109" s="49" t="s">
        <v>62</v>
      </c>
    </row>
    <row r="110" spans="1:31">
      <c r="A110" s="33" t="s">
        <v>701</v>
      </c>
      <c r="B110" s="61" t="s">
        <v>1438</v>
      </c>
      <c r="C110" s="61" t="s">
        <v>703</v>
      </c>
      <c r="D110" s="27" t="s">
        <v>438</v>
      </c>
      <c r="E110" s="27" t="s">
        <v>442</v>
      </c>
      <c r="F110" s="27" t="s">
        <v>67</v>
      </c>
      <c r="G110" s="35">
        <v>52</v>
      </c>
      <c r="H110" s="38">
        <v>15</v>
      </c>
      <c r="I110" s="38">
        <v>37</v>
      </c>
      <c r="J110" s="38" t="s">
        <v>1406</v>
      </c>
      <c r="K110" s="27" t="s">
        <v>706</v>
      </c>
      <c r="L110" s="27" t="s">
        <v>707</v>
      </c>
      <c r="M110" s="40">
        <v>5.09e-5</v>
      </c>
      <c r="N110" s="40">
        <v>77.9</v>
      </c>
      <c r="O110" s="40">
        <v>2.27e-6</v>
      </c>
      <c r="P110" t="s">
        <v>42</v>
      </c>
      <c r="Q110" t="s">
        <v>42</v>
      </c>
      <c r="R110" t="s">
        <v>42</v>
      </c>
      <c r="S110" t="s">
        <v>42</v>
      </c>
      <c r="T110" s="40">
        <v>1484</v>
      </c>
      <c r="U110" s="38"/>
      <c r="V110" s="38"/>
      <c r="W110" s="38">
        <v>1</v>
      </c>
      <c r="X110" s="106">
        <v>1</v>
      </c>
      <c r="Y110" s="106">
        <v>1</v>
      </c>
      <c r="Z110" s="106"/>
      <c r="AA110" s="106"/>
      <c r="AB110" s="106"/>
      <c r="AC110" s="106"/>
      <c r="AD110" s="38" t="s">
        <v>1437</v>
      </c>
      <c r="AE110" s="49" t="s">
        <v>45</v>
      </c>
    </row>
    <row r="111" spans="1:31">
      <c r="A111" s="33" t="s">
        <v>708</v>
      </c>
      <c r="B111" s="61" t="s">
        <v>1439</v>
      </c>
      <c r="C111" s="61" t="s">
        <v>710</v>
      </c>
      <c r="D111" s="27" t="s">
        <v>438</v>
      </c>
      <c r="E111" s="27" t="s">
        <v>442</v>
      </c>
      <c r="F111" s="27" t="s">
        <v>67</v>
      </c>
      <c r="G111" s="35">
        <v>21</v>
      </c>
      <c r="H111" s="38">
        <v>7</v>
      </c>
      <c r="I111" s="38">
        <v>14</v>
      </c>
      <c r="J111" s="38" t="s">
        <v>1435</v>
      </c>
      <c r="K111" s="27" t="s">
        <v>713</v>
      </c>
      <c r="L111" s="27" t="s">
        <v>714</v>
      </c>
      <c r="M111">
        <v>0.317</v>
      </c>
      <c r="N111">
        <v>70.3</v>
      </c>
      <c r="O111" s="123" t="s">
        <v>712</v>
      </c>
      <c r="P111" t="s">
        <v>42</v>
      </c>
      <c r="Q111" t="s">
        <v>42</v>
      </c>
      <c r="R111" t="s">
        <v>42</v>
      </c>
      <c r="S111" t="s">
        <v>42</v>
      </c>
      <c r="T111">
        <v>378</v>
      </c>
      <c r="U111" s="38"/>
      <c r="V111" s="38"/>
      <c r="W111" s="38">
        <v>1</v>
      </c>
      <c r="X111" s="106"/>
      <c r="Y111" s="106">
        <v>1</v>
      </c>
      <c r="Z111" s="106"/>
      <c r="AA111" s="106"/>
      <c r="AB111" s="106"/>
      <c r="AC111" s="106"/>
      <c r="AD111" s="38" t="s">
        <v>1440</v>
      </c>
      <c r="AE111" s="49" t="s">
        <v>45</v>
      </c>
    </row>
    <row r="112" spans="1:31">
      <c r="A112" s="39" t="s">
        <v>715</v>
      </c>
      <c r="B112" s="27" t="s">
        <v>716</v>
      </c>
      <c r="C112" s="27" t="s">
        <v>717</v>
      </c>
      <c r="D112" s="27" t="s">
        <v>33</v>
      </c>
      <c r="E112" s="27" t="s">
        <v>38</v>
      </c>
      <c r="G112" s="35">
        <v>4</v>
      </c>
      <c r="H112" s="38">
        <v>0</v>
      </c>
      <c r="I112" s="38">
        <v>4</v>
      </c>
      <c r="J112" s="38" t="s">
        <v>1402</v>
      </c>
      <c r="K112" s="27" t="s">
        <v>719</v>
      </c>
      <c r="L112" s="27" t="s">
        <v>720</v>
      </c>
      <c r="M112" s="40">
        <v>0.398</v>
      </c>
      <c r="N112" s="40">
        <v>0</v>
      </c>
      <c r="O112" s="40">
        <v>0.193</v>
      </c>
      <c r="P112" s="40">
        <v>28</v>
      </c>
      <c r="Q112" s="40">
        <v>36</v>
      </c>
      <c r="R112" s="40">
        <v>59</v>
      </c>
      <c r="S112" s="40">
        <v>78</v>
      </c>
      <c r="T112" s="27"/>
      <c r="U112" s="38"/>
      <c r="V112" s="38"/>
      <c r="W112" s="38">
        <v>1</v>
      </c>
      <c r="X112" s="106"/>
      <c r="Y112" s="106"/>
      <c r="Z112" s="106"/>
      <c r="AA112" s="106">
        <v>1</v>
      </c>
      <c r="AB112" s="106"/>
      <c r="AC112" s="106"/>
      <c r="AD112" s="38"/>
      <c r="AE112" s="38" t="s">
        <v>45</v>
      </c>
    </row>
    <row r="113" spans="1:31">
      <c r="A113" s="41" t="s">
        <v>721</v>
      </c>
      <c r="B113" s="61" t="s">
        <v>722</v>
      </c>
      <c r="C113" s="61" t="s">
        <v>717</v>
      </c>
      <c r="D113" s="27" t="s">
        <v>33</v>
      </c>
      <c r="E113" s="27" t="s">
        <v>38</v>
      </c>
      <c r="G113" s="35">
        <v>7</v>
      </c>
      <c r="H113" s="38">
        <v>1</v>
      </c>
      <c r="I113" s="38">
        <v>6</v>
      </c>
      <c r="J113" s="38" t="s">
        <v>1402</v>
      </c>
      <c r="K113" s="27" t="s">
        <v>724</v>
      </c>
      <c r="L113" s="47" t="s">
        <v>725</v>
      </c>
      <c r="M113">
        <v>0.139</v>
      </c>
      <c r="N113">
        <v>21.7</v>
      </c>
      <c r="O113">
        <v>0.057</v>
      </c>
      <c r="P113">
        <v>0</v>
      </c>
      <c r="Q113">
        <v>0</v>
      </c>
      <c r="R113">
        <v>4</v>
      </c>
      <c r="S113">
        <v>2</v>
      </c>
      <c r="T113" t="s">
        <v>42</v>
      </c>
      <c r="U113" s="38"/>
      <c r="V113" s="38"/>
      <c r="W113" s="38">
        <v>1</v>
      </c>
      <c r="X113" s="106">
        <v>1</v>
      </c>
      <c r="Y113" s="106"/>
      <c r="Z113" s="106"/>
      <c r="AA113" s="106">
        <v>1</v>
      </c>
      <c r="AB113" s="106"/>
      <c r="AC113" s="106"/>
      <c r="AD113" s="38"/>
      <c r="AE113" s="38" t="s">
        <v>45</v>
      </c>
    </row>
    <row r="114" spans="1:31">
      <c r="A114" s="39" t="s">
        <v>726</v>
      </c>
      <c r="B114" s="61" t="s">
        <v>727</v>
      </c>
      <c r="C114" s="61" t="s">
        <v>728</v>
      </c>
      <c r="D114" s="27" t="s">
        <v>33</v>
      </c>
      <c r="E114" s="27" t="s">
        <v>38</v>
      </c>
      <c r="G114" s="35">
        <v>20</v>
      </c>
      <c r="H114" s="38">
        <v>0</v>
      </c>
      <c r="I114" s="38">
        <v>20</v>
      </c>
      <c r="J114" s="38" t="s">
        <v>1406</v>
      </c>
      <c r="K114" s="27" t="s">
        <v>731</v>
      </c>
      <c r="L114" s="27" t="s">
        <v>732</v>
      </c>
      <c r="M114" s="40">
        <v>0.0902</v>
      </c>
      <c r="N114" s="40">
        <v>52.8</v>
      </c>
      <c r="O114" s="40">
        <v>0.544</v>
      </c>
      <c r="P114" s="40">
        <v>156</v>
      </c>
      <c r="Q114" s="40">
        <v>430</v>
      </c>
      <c r="R114" s="40">
        <v>332</v>
      </c>
      <c r="S114" s="40">
        <v>799</v>
      </c>
      <c r="T114" s="27"/>
      <c r="U114" s="38"/>
      <c r="V114" s="38"/>
      <c r="W114" s="38">
        <v>1</v>
      </c>
      <c r="X114" s="106"/>
      <c r="Y114" s="106">
        <v>1</v>
      </c>
      <c r="Z114" s="106"/>
      <c r="AA114" s="106">
        <v>1</v>
      </c>
      <c r="AB114" s="106"/>
      <c r="AC114" s="106"/>
      <c r="AD114" s="38"/>
      <c r="AE114" s="38" t="s">
        <v>45</v>
      </c>
    </row>
    <row r="115" spans="1:31">
      <c r="A115" s="41" t="s">
        <v>733</v>
      </c>
      <c r="B115" s="61" t="s">
        <v>727</v>
      </c>
      <c r="C115" s="61" t="s">
        <v>734</v>
      </c>
      <c r="D115" s="34" t="s">
        <v>735</v>
      </c>
      <c r="E115" s="34" t="s">
        <v>737</v>
      </c>
      <c r="G115" s="35">
        <v>13</v>
      </c>
      <c r="H115" s="38">
        <v>0</v>
      </c>
      <c r="I115" s="38">
        <v>13</v>
      </c>
      <c r="J115" s="38" t="s">
        <v>1441</v>
      </c>
      <c r="K115" s="27" t="s">
        <v>738</v>
      </c>
      <c r="L115" s="27" t="s">
        <v>739</v>
      </c>
      <c r="M115">
        <v>0.898</v>
      </c>
      <c r="N115">
        <v>0</v>
      </c>
      <c r="O115">
        <v>0.864</v>
      </c>
      <c r="P115">
        <v>4114</v>
      </c>
      <c r="Q115">
        <v>179</v>
      </c>
      <c r="R115" t="s">
        <v>159</v>
      </c>
      <c r="S115">
        <v>346</v>
      </c>
      <c r="T115" t="s">
        <v>42</v>
      </c>
      <c r="U115" s="38"/>
      <c r="V115" s="38"/>
      <c r="W115" s="38">
        <v>1</v>
      </c>
      <c r="X115" s="106"/>
      <c r="Y115" s="106"/>
      <c r="Z115" s="106"/>
      <c r="AA115" s="106">
        <v>1</v>
      </c>
      <c r="AB115" s="106"/>
      <c r="AC115" s="106"/>
      <c r="AD115" s="38"/>
      <c r="AE115" s="38" t="s">
        <v>45</v>
      </c>
    </row>
    <row r="116" spans="1:31">
      <c r="A116" s="41" t="s">
        <v>740</v>
      </c>
      <c r="B116" s="61" t="s">
        <v>727</v>
      </c>
      <c r="C116" s="61" t="s">
        <v>741</v>
      </c>
      <c r="D116" s="34" t="s">
        <v>742</v>
      </c>
      <c r="E116" s="34" t="s">
        <v>745</v>
      </c>
      <c r="G116" s="35">
        <v>18</v>
      </c>
      <c r="H116" s="38">
        <v>0</v>
      </c>
      <c r="I116" s="38">
        <v>18</v>
      </c>
      <c r="J116" s="38" t="s">
        <v>1441</v>
      </c>
      <c r="K116" s="27" t="s">
        <v>746</v>
      </c>
      <c r="L116" s="27" t="s">
        <v>686</v>
      </c>
      <c r="M116">
        <v>0.00913</v>
      </c>
      <c r="N116">
        <v>2</v>
      </c>
      <c r="O116">
        <v>0.00103</v>
      </c>
      <c r="P116" t="s">
        <v>42</v>
      </c>
      <c r="Q116" t="s">
        <v>42</v>
      </c>
      <c r="R116" t="s">
        <v>42</v>
      </c>
      <c r="S116" t="s">
        <v>42</v>
      </c>
      <c r="T116">
        <v>90</v>
      </c>
      <c r="U116" s="38"/>
      <c r="V116" s="38"/>
      <c r="W116" s="38">
        <v>1</v>
      </c>
      <c r="X116" s="106">
        <v>1</v>
      </c>
      <c r="Y116" s="106"/>
      <c r="Z116" s="106"/>
      <c r="AA116" s="106"/>
      <c r="AB116" s="106"/>
      <c r="AC116" s="106"/>
      <c r="AD116" s="38"/>
      <c r="AE116" s="38" t="s">
        <v>45</v>
      </c>
    </row>
    <row r="117" spans="1:31">
      <c r="A117" s="33" t="s">
        <v>747</v>
      </c>
      <c r="B117" s="61" t="s">
        <v>727</v>
      </c>
      <c r="C117" s="61" t="s">
        <v>749</v>
      </c>
      <c r="D117" s="27" t="s">
        <v>750</v>
      </c>
      <c r="E117" s="27" t="s">
        <v>753</v>
      </c>
      <c r="F117" s="27" t="s">
        <v>751</v>
      </c>
      <c r="G117" s="35">
        <v>8</v>
      </c>
      <c r="H117" s="38">
        <v>0</v>
      </c>
      <c r="I117" s="38">
        <v>8</v>
      </c>
      <c r="J117" s="38" t="s">
        <v>1428</v>
      </c>
      <c r="K117" s="27" t="s">
        <v>754</v>
      </c>
      <c r="L117" s="27" t="s">
        <v>755</v>
      </c>
      <c r="M117" s="40">
        <v>0.00544</v>
      </c>
      <c r="N117" s="40">
        <v>56.2</v>
      </c>
      <c r="O117" s="40">
        <v>0.145</v>
      </c>
      <c r="P117" s="40">
        <v>1</v>
      </c>
      <c r="Q117" s="40">
        <v>1</v>
      </c>
      <c r="R117" s="40">
        <v>7</v>
      </c>
      <c r="S117" s="40">
        <v>6</v>
      </c>
      <c r="T117" t="s">
        <v>42</v>
      </c>
      <c r="U117" s="38"/>
      <c r="V117" s="38"/>
      <c r="W117" s="38"/>
      <c r="X117" s="106">
        <v>1</v>
      </c>
      <c r="Y117" s="106">
        <v>1</v>
      </c>
      <c r="Z117" s="106"/>
      <c r="AA117" s="106">
        <v>1</v>
      </c>
      <c r="AB117" s="106"/>
      <c r="AC117" s="106"/>
      <c r="AD117" s="38" t="s">
        <v>1403</v>
      </c>
      <c r="AE117" s="49" t="s">
        <v>45</v>
      </c>
    </row>
    <row r="118" spans="1:31">
      <c r="A118" s="33" t="s">
        <v>756</v>
      </c>
      <c r="B118" s="61" t="s">
        <v>727</v>
      </c>
      <c r="C118" s="61" t="s">
        <v>749</v>
      </c>
      <c r="D118" s="27" t="s">
        <v>757</v>
      </c>
      <c r="E118" s="27" t="s">
        <v>59</v>
      </c>
      <c r="F118" s="27" t="s">
        <v>758</v>
      </c>
      <c r="G118" s="35">
        <v>5</v>
      </c>
      <c r="H118" s="38">
        <v>0</v>
      </c>
      <c r="I118" s="38">
        <v>5</v>
      </c>
      <c r="J118" s="38" t="s">
        <v>1442</v>
      </c>
      <c r="K118" s="27" t="s">
        <v>761</v>
      </c>
      <c r="L118" s="27" t="s">
        <v>762</v>
      </c>
      <c r="M118">
        <v>0.215</v>
      </c>
      <c r="N118">
        <v>51.4</v>
      </c>
      <c r="O118">
        <v>0.0433</v>
      </c>
      <c r="P118" t="s">
        <v>42</v>
      </c>
      <c r="Q118" t="s">
        <v>42</v>
      </c>
      <c r="R118" t="s">
        <v>42</v>
      </c>
      <c r="S118" t="s">
        <v>42</v>
      </c>
      <c r="T118">
        <v>18</v>
      </c>
      <c r="U118" s="38">
        <v>35</v>
      </c>
      <c r="V118" s="38">
        <v>-17</v>
      </c>
      <c r="W118" s="38">
        <v>1</v>
      </c>
      <c r="X118" s="106">
        <v>1</v>
      </c>
      <c r="Y118" s="106">
        <v>1</v>
      </c>
      <c r="Z118" s="106"/>
      <c r="AA118" s="106"/>
      <c r="AB118" s="106"/>
      <c r="AC118" s="106"/>
      <c r="AD118" s="38" t="s">
        <v>1403</v>
      </c>
      <c r="AE118" s="49" t="s">
        <v>45</v>
      </c>
    </row>
    <row r="119" spans="1:31">
      <c r="A119" s="39" t="s">
        <v>763</v>
      </c>
      <c r="B119" s="61" t="s">
        <v>764</v>
      </c>
      <c r="C119" s="61" t="s">
        <v>728</v>
      </c>
      <c r="D119" s="27" t="s">
        <v>33</v>
      </c>
      <c r="E119" s="27" t="s">
        <v>38</v>
      </c>
      <c r="G119" s="35">
        <v>15</v>
      </c>
      <c r="H119" s="38">
        <v>0</v>
      </c>
      <c r="I119" s="38">
        <v>15</v>
      </c>
      <c r="J119" s="38" t="s">
        <v>1406</v>
      </c>
      <c r="K119" s="27" t="s">
        <v>767</v>
      </c>
      <c r="L119" s="27" t="s">
        <v>768</v>
      </c>
      <c r="M119" s="40">
        <v>0.715</v>
      </c>
      <c r="N119" s="40">
        <v>0</v>
      </c>
      <c r="O119" s="40">
        <v>0.845</v>
      </c>
      <c r="P119" s="40">
        <v>1036</v>
      </c>
      <c r="Q119" s="40">
        <v>32</v>
      </c>
      <c r="R119" s="40" t="s">
        <v>159</v>
      </c>
      <c r="S119" s="40">
        <v>56</v>
      </c>
      <c r="T119" s="27"/>
      <c r="U119" s="38"/>
      <c r="V119" s="38"/>
      <c r="W119" s="38">
        <v>1</v>
      </c>
      <c r="X119" s="106"/>
      <c r="Y119" s="106"/>
      <c r="Z119" s="106"/>
      <c r="AA119" s="106">
        <v>1</v>
      </c>
      <c r="AB119" s="106"/>
      <c r="AC119" s="106"/>
      <c r="AD119" s="38"/>
      <c r="AE119" s="38" t="s">
        <v>45</v>
      </c>
    </row>
    <row r="120" spans="1:31">
      <c r="A120" s="41" t="s">
        <v>769</v>
      </c>
      <c r="B120" s="61" t="s">
        <v>764</v>
      </c>
      <c r="C120" s="61" t="s">
        <v>734</v>
      </c>
      <c r="D120" s="34" t="s">
        <v>735</v>
      </c>
      <c r="E120" s="34" t="s">
        <v>737</v>
      </c>
      <c r="G120" s="35">
        <v>10</v>
      </c>
      <c r="H120" s="38">
        <v>0</v>
      </c>
      <c r="I120" s="38">
        <v>10</v>
      </c>
      <c r="J120" s="38" t="s">
        <v>1441</v>
      </c>
      <c r="K120" s="27" t="s">
        <v>772</v>
      </c>
      <c r="L120" s="27" t="s">
        <v>773</v>
      </c>
      <c r="M120">
        <v>0.79</v>
      </c>
      <c r="N120">
        <v>0</v>
      </c>
      <c r="O120">
        <v>0.16</v>
      </c>
      <c r="P120">
        <v>10</v>
      </c>
      <c r="Q120">
        <v>32</v>
      </c>
      <c r="R120">
        <v>33</v>
      </c>
      <c r="S120">
        <v>107</v>
      </c>
      <c r="T120" t="s">
        <v>42</v>
      </c>
      <c r="U120" s="38"/>
      <c r="V120" s="38"/>
      <c r="W120" s="38">
        <v>1</v>
      </c>
      <c r="X120" s="106"/>
      <c r="Y120" s="106"/>
      <c r="Z120" s="106"/>
      <c r="AA120" s="106">
        <v>1</v>
      </c>
      <c r="AB120" s="106"/>
      <c r="AC120" s="106"/>
      <c r="AD120" s="38"/>
      <c r="AE120" s="38" t="s">
        <v>45</v>
      </c>
    </row>
    <row r="121" spans="1:31">
      <c r="A121" s="41" t="s">
        <v>774</v>
      </c>
      <c r="B121" s="61" t="s">
        <v>764</v>
      </c>
      <c r="C121" s="61" t="s">
        <v>734</v>
      </c>
      <c r="D121" s="34" t="s">
        <v>742</v>
      </c>
      <c r="E121" s="34" t="s">
        <v>745</v>
      </c>
      <c r="G121" s="35">
        <v>7</v>
      </c>
      <c r="H121" s="38">
        <v>0</v>
      </c>
      <c r="I121" s="38">
        <v>7</v>
      </c>
      <c r="J121" s="38" t="s">
        <v>1441</v>
      </c>
      <c r="K121" s="27" t="s">
        <v>772</v>
      </c>
      <c r="L121" s="27" t="s">
        <v>777</v>
      </c>
      <c r="M121">
        <v>0.196</v>
      </c>
      <c r="N121">
        <v>46.8</v>
      </c>
      <c r="O121">
        <v>0.236</v>
      </c>
      <c r="P121">
        <v>12</v>
      </c>
      <c r="Q121">
        <v>46</v>
      </c>
      <c r="R121">
        <v>33</v>
      </c>
      <c r="S121">
        <v>123</v>
      </c>
      <c r="T121" t="s">
        <v>42</v>
      </c>
      <c r="U121" s="38"/>
      <c r="V121" s="38"/>
      <c r="W121" s="38">
        <v>1</v>
      </c>
      <c r="X121" s="106"/>
      <c r="Y121" s="106"/>
      <c r="Z121" s="106"/>
      <c r="AA121" s="106">
        <v>1</v>
      </c>
      <c r="AB121" s="106"/>
      <c r="AC121" s="106"/>
      <c r="AD121" s="38"/>
      <c r="AE121" s="38" t="s">
        <v>45</v>
      </c>
    </row>
    <row r="122" spans="1:31">
      <c r="A122" s="41" t="s">
        <v>778</v>
      </c>
      <c r="B122" s="61" t="s">
        <v>779</v>
      </c>
      <c r="C122" s="61" t="s">
        <v>780</v>
      </c>
      <c r="D122" s="27" t="s">
        <v>438</v>
      </c>
      <c r="E122" s="27" t="s">
        <v>783</v>
      </c>
      <c r="G122" s="35">
        <v>14</v>
      </c>
      <c r="H122" s="38">
        <v>3</v>
      </c>
      <c r="I122" s="38">
        <v>11</v>
      </c>
      <c r="J122" s="38" t="s">
        <v>1443</v>
      </c>
      <c r="K122" s="27" t="s">
        <v>784</v>
      </c>
      <c r="L122" s="27" t="s">
        <v>785</v>
      </c>
      <c r="M122">
        <v>0.394</v>
      </c>
      <c r="N122">
        <v>0</v>
      </c>
      <c r="O122">
        <v>0.00611</v>
      </c>
      <c r="T122" s="7">
        <v>17</v>
      </c>
      <c r="U122" s="38"/>
      <c r="V122" s="38"/>
      <c r="W122" s="38"/>
      <c r="X122" s="106"/>
      <c r="Y122" s="106"/>
      <c r="Z122" s="106"/>
      <c r="AA122" s="106"/>
      <c r="AB122" s="106"/>
      <c r="AC122" s="106"/>
      <c r="AD122" s="38"/>
      <c r="AE122" s="38" t="s">
        <v>62</v>
      </c>
    </row>
    <row r="123" spans="1:31">
      <c r="A123" s="41" t="s">
        <v>786</v>
      </c>
      <c r="B123" s="61" t="s">
        <v>779</v>
      </c>
      <c r="C123" s="61" t="s">
        <v>780</v>
      </c>
      <c r="D123" s="28" t="s">
        <v>562</v>
      </c>
      <c r="E123" s="27" t="s">
        <v>565</v>
      </c>
      <c r="G123" s="35">
        <v>8</v>
      </c>
      <c r="H123" s="38">
        <v>2</v>
      </c>
      <c r="I123" s="38">
        <v>6</v>
      </c>
      <c r="J123" s="38" t="s">
        <v>1443</v>
      </c>
      <c r="K123" s="27" t="s">
        <v>787</v>
      </c>
      <c r="L123" s="47" t="s">
        <v>788</v>
      </c>
      <c r="M123">
        <v>0.129</v>
      </c>
      <c r="N123">
        <v>57</v>
      </c>
      <c r="O123">
        <v>0.0725</v>
      </c>
      <c r="P123" s="7">
        <v>0</v>
      </c>
      <c r="Q123" s="7">
        <v>194</v>
      </c>
      <c r="R123" s="7">
        <v>2</v>
      </c>
      <c r="S123" s="7">
        <v>328</v>
      </c>
      <c r="T123" t="s">
        <v>42</v>
      </c>
      <c r="U123" s="38"/>
      <c r="V123" s="38"/>
      <c r="W123" s="38"/>
      <c r="X123" s="106"/>
      <c r="Y123" s="106">
        <v>1</v>
      </c>
      <c r="Z123" s="106"/>
      <c r="AA123" s="106">
        <v>1</v>
      </c>
      <c r="AB123" s="106"/>
      <c r="AC123" s="106"/>
      <c r="AD123" s="38"/>
      <c r="AE123" s="38" t="s">
        <v>45</v>
      </c>
    </row>
    <row r="124" spans="1:31">
      <c r="A124" s="41" t="s">
        <v>789</v>
      </c>
      <c r="B124" s="61" t="s">
        <v>790</v>
      </c>
      <c r="C124" s="61" t="s">
        <v>791</v>
      </c>
      <c r="D124" s="27" t="s">
        <v>438</v>
      </c>
      <c r="E124" s="27" t="s">
        <v>442</v>
      </c>
      <c r="G124" s="35">
        <v>4</v>
      </c>
      <c r="H124" s="38">
        <v>1</v>
      </c>
      <c r="I124" s="38">
        <v>3</v>
      </c>
      <c r="J124" s="38" t="s">
        <v>1435</v>
      </c>
      <c r="K124" s="27" t="s">
        <v>793</v>
      </c>
      <c r="L124" s="47" t="s">
        <v>794</v>
      </c>
      <c r="M124">
        <v>0.36</v>
      </c>
      <c r="N124">
        <v>0</v>
      </c>
      <c r="O124">
        <v>0.0676</v>
      </c>
      <c r="P124" s="7">
        <v>0</v>
      </c>
      <c r="Q124" s="7">
        <v>0</v>
      </c>
      <c r="R124" s="7">
        <v>1</v>
      </c>
      <c r="S124" s="7">
        <v>1</v>
      </c>
      <c r="T124" t="s">
        <v>42</v>
      </c>
      <c r="U124" s="38"/>
      <c r="V124" s="38"/>
      <c r="W124" s="38">
        <v>1</v>
      </c>
      <c r="X124" s="106">
        <v>1</v>
      </c>
      <c r="Y124" s="106"/>
      <c r="Z124" s="106"/>
      <c r="AA124" s="106">
        <v>1</v>
      </c>
      <c r="AB124" s="106"/>
      <c r="AC124" s="106"/>
      <c r="AD124" s="38"/>
      <c r="AE124" s="38" t="s">
        <v>45</v>
      </c>
    </row>
    <row r="125" spans="1:31">
      <c r="A125" s="27" t="s">
        <v>795</v>
      </c>
      <c r="B125" s="61" t="s">
        <v>790</v>
      </c>
      <c r="C125" s="61" t="s">
        <v>796</v>
      </c>
      <c r="D125" s="27" t="s">
        <v>33</v>
      </c>
      <c r="E125" s="27" t="s">
        <v>38</v>
      </c>
      <c r="G125" s="35">
        <v>3</v>
      </c>
      <c r="H125" s="38">
        <v>0</v>
      </c>
      <c r="I125" s="38">
        <v>3</v>
      </c>
      <c r="J125" s="38" t="s">
        <v>1435</v>
      </c>
      <c r="K125" t="s">
        <v>797</v>
      </c>
      <c r="L125" s="47" t="s">
        <v>798</v>
      </c>
      <c r="M125" s="40">
        <v>0.609</v>
      </c>
      <c r="N125" s="40">
        <v>1</v>
      </c>
      <c r="O125" s="40">
        <v>0.17</v>
      </c>
      <c r="P125" s="40">
        <v>96</v>
      </c>
      <c r="Q125" s="40">
        <v>103</v>
      </c>
      <c r="R125" s="40">
        <v>197</v>
      </c>
      <c r="S125" s="40">
        <v>213</v>
      </c>
      <c r="T125" s="27"/>
      <c r="U125" s="38"/>
      <c r="V125" s="38"/>
      <c r="W125" s="38">
        <v>1</v>
      </c>
      <c r="X125" s="106"/>
      <c r="Y125" s="106"/>
      <c r="Z125" s="106"/>
      <c r="AA125" s="106">
        <v>1</v>
      </c>
      <c r="AB125" s="106"/>
      <c r="AC125" s="106"/>
      <c r="AD125" s="38"/>
      <c r="AE125" s="49" t="s">
        <v>45</v>
      </c>
    </row>
    <row r="126" spans="1:31">
      <c r="A126" s="41" t="s">
        <v>799</v>
      </c>
      <c r="B126" s="61" t="s">
        <v>800</v>
      </c>
      <c r="C126" s="61" t="s">
        <v>801</v>
      </c>
      <c r="D126" s="27" t="s">
        <v>33</v>
      </c>
      <c r="E126" s="27" t="s">
        <v>38</v>
      </c>
      <c r="G126" s="35">
        <v>14</v>
      </c>
      <c r="H126" s="38">
        <v>3</v>
      </c>
      <c r="I126" s="38">
        <v>11</v>
      </c>
      <c r="J126" s="38" t="s">
        <v>1443</v>
      </c>
      <c r="K126" s="27" t="s">
        <v>803</v>
      </c>
      <c r="L126" s="27" t="s">
        <v>804</v>
      </c>
      <c r="M126">
        <v>0.806</v>
      </c>
      <c r="N126">
        <v>0</v>
      </c>
      <c r="O126">
        <v>0.204</v>
      </c>
      <c r="P126" s="7">
        <v>30</v>
      </c>
      <c r="Q126" s="7">
        <v>6</v>
      </c>
      <c r="R126" s="7">
        <v>74</v>
      </c>
      <c r="S126" s="7">
        <v>9</v>
      </c>
      <c r="T126" t="s">
        <v>42</v>
      </c>
      <c r="U126" s="38"/>
      <c r="V126" s="38"/>
      <c r="W126" s="38"/>
      <c r="X126" s="106"/>
      <c r="Y126" s="106"/>
      <c r="Z126" s="106"/>
      <c r="AA126" s="106">
        <v>1</v>
      </c>
      <c r="AB126" s="106"/>
      <c r="AC126" s="106"/>
      <c r="AD126" s="38"/>
      <c r="AE126" s="38" t="s">
        <v>45</v>
      </c>
    </row>
    <row r="127" spans="1:31">
      <c r="A127" s="41" t="s">
        <v>805</v>
      </c>
      <c r="B127" s="61" t="s">
        <v>806</v>
      </c>
      <c r="C127" s="61" t="s">
        <v>791</v>
      </c>
      <c r="D127" s="27" t="s">
        <v>438</v>
      </c>
      <c r="E127" s="27" t="s">
        <v>442</v>
      </c>
      <c r="G127" s="35">
        <v>5</v>
      </c>
      <c r="H127" s="38">
        <v>3</v>
      </c>
      <c r="I127" s="38">
        <v>2</v>
      </c>
      <c r="J127" s="38" t="s">
        <v>1404</v>
      </c>
      <c r="K127" s="27" t="s">
        <v>808</v>
      </c>
      <c r="L127" s="27" t="s">
        <v>809</v>
      </c>
      <c r="M127">
        <v>0.0258</v>
      </c>
      <c r="N127">
        <v>0</v>
      </c>
      <c r="O127">
        <v>0.108</v>
      </c>
      <c r="P127" s="7">
        <v>1</v>
      </c>
      <c r="Q127" s="7">
        <v>1</v>
      </c>
      <c r="R127" s="7">
        <v>6</v>
      </c>
      <c r="S127" s="7">
        <v>2</v>
      </c>
      <c r="T127" t="s">
        <v>42</v>
      </c>
      <c r="U127" s="38"/>
      <c r="V127" s="38"/>
      <c r="W127" s="38">
        <v>1</v>
      </c>
      <c r="X127" s="106">
        <v>1</v>
      </c>
      <c r="Y127" s="106"/>
      <c r="Z127" s="106"/>
      <c r="AA127" s="106">
        <v>1</v>
      </c>
      <c r="AB127" s="106"/>
      <c r="AC127" s="106"/>
      <c r="AD127" s="38"/>
      <c r="AE127" s="38" t="s">
        <v>45</v>
      </c>
    </row>
    <row r="128" spans="1:31">
      <c r="A128" s="41" t="s">
        <v>810</v>
      </c>
      <c r="B128" s="61" t="s">
        <v>811</v>
      </c>
      <c r="C128" s="61" t="s">
        <v>791</v>
      </c>
      <c r="D128" s="27" t="s">
        <v>438</v>
      </c>
      <c r="E128" s="27" t="s">
        <v>442</v>
      </c>
      <c r="G128" s="35">
        <v>5</v>
      </c>
      <c r="H128" s="38">
        <v>3</v>
      </c>
      <c r="I128" s="38">
        <v>2</v>
      </c>
      <c r="J128" s="38" t="s">
        <v>1404</v>
      </c>
      <c r="K128" s="27" t="s">
        <v>813</v>
      </c>
      <c r="L128" s="27" t="s">
        <v>814</v>
      </c>
      <c r="M128">
        <v>0.204</v>
      </c>
      <c r="N128">
        <v>0</v>
      </c>
      <c r="O128">
        <v>0.321</v>
      </c>
      <c r="P128" s="40">
        <v>8</v>
      </c>
      <c r="Q128" s="40">
        <v>5</v>
      </c>
      <c r="R128" s="40">
        <v>20</v>
      </c>
      <c r="S128" s="40">
        <v>12</v>
      </c>
      <c r="T128" t="s">
        <v>42</v>
      </c>
      <c r="U128" s="38"/>
      <c r="V128" s="38"/>
      <c r="W128" s="38">
        <v>1</v>
      </c>
      <c r="X128" s="106"/>
      <c r="Y128" s="106"/>
      <c r="Z128" s="106"/>
      <c r="AA128" s="106">
        <v>1</v>
      </c>
      <c r="AB128" s="106"/>
      <c r="AC128" s="106"/>
      <c r="AD128" s="38"/>
      <c r="AE128" s="38" t="s">
        <v>45</v>
      </c>
    </row>
    <row r="129" spans="1:31">
      <c r="A129" s="41" t="s">
        <v>815</v>
      </c>
      <c r="B129" s="61" t="s">
        <v>1444</v>
      </c>
      <c r="C129" s="61" t="s">
        <v>796</v>
      </c>
      <c r="D129" s="27" t="s">
        <v>33</v>
      </c>
      <c r="E129" s="27" t="s">
        <v>38</v>
      </c>
      <c r="G129" s="35">
        <v>4</v>
      </c>
      <c r="H129" s="38">
        <v>0</v>
      </c>
      <c r="I129" s="38">
        <v>4</v>
      </c>
      <c r="J129" s="38" t="s">
        <v>1435</v>
      </c>
      <c r="K129" s="27" t="s">
        <v>818</v>
      </c>
      <c r="L129" s="27" t="s">
        <v>819</v>
      </c>
      <c r="M129" s="40">
        <v>0.165</v>
      </c>
      <c r="N129" s="40">
        <v>57.5</v>
      </c>
      <c r="O129" s="40">
        <v>0.728</v>
      </c>
      <c r="P129" s="40">
        <v>93</v>
      </c>
      <c r="Q129" s="40">
        <v>8</v>
      </c>
      <c r="R129" s="40">
        <v>193</v>
      </c>
      <c r="S129" s="40">
        <v>12</v>
      </c>
      <c r="U129" s="38"/>
      <c r="V129" s="38"/>
      <c r="W129" s="38">
        <v>1</v>
      </c>
      <c r="X129" s="106"/>
      <c r="Y129" s="106">
        <v>1</v>
      </c>
      <c r="Z129" s="106"/>
      <c r="AA129" s="106">
        <v>1</v>
      </c>
      <c r="AB129" s="106"/>
      <c r="AC129" s="106"/>
      <c r="AD129" s="38"/>
      <c r="AE129" s="38" t="s">
        <v>45</v>
      </c>
    </row>
    <row r="130" spans="1:31">
      <c r="A130" s="41" t="s">
        <v>820</v>
      </c>
      <c r="B130" s="61" t="s">
        <v>1445</v>
      </c>
      <c r="C130" s="61" t="s">
        <v>822</v>
      </c>
      <c r="D130" s="27" t="s">
        <v>438</v>
      </c>
      <c r="E130" s="27" t="s">
        <v>442</v>
      </c>
      <c r="G130" s="35">
        <v>17</v>
      </c>
      <c r="H130" s="38">
        <v>0</v>
      </c>
      <c r="I130" s="38">
        <v>17</v>
      </c>
      <c r="J130" s="38" t="s">
        <v>1443</v>
      </c>
      <c r="K130" s="27" t="s">
        <v>825</v>
      </c>
      <c r="L130" s="27" t="s">
        <v>826</v>
      </c>
      <c r="M130">
        <v>0.516</v>
      </c>
      <c r="N130">
        <v>95</v>
      </c>
      <c r="O130">
        <v>0.00157</v>
      </c>
      <c r="T130" s="7">
        <v>1159</v>
      </c>
      <c r="U130" s="38"/>
      <c r="V130" s="38"/>
      <c r="W130" s="38"/>
      <c r="X130" s="106"/>
      <c r="Y130" s="106">
        <v>1</v>
      </c>
      <c r="Z130" s="106"/>
      <c r="AA130" s="106">
        <v>1</v>
      </c>
      <c r="AB130" s="106"/>
      <c r="AC130" s="106"/>
      <c r="AD130" s="38"/>
      <c r="AE130" s="38" t="s">
        <v>45</v>
      </c>
    </row>
    <row r="131" spans="1:31">
      <c r="A131" s="33" t="s">
        <v>827</v>
      </c>
      <c r="B131" s="61" t="s">
        <v>828</v>
      </c>
      <c r="C131" s="61" t="s">
        <v>829</v>
      </c>
      <c r="D131" s="27" t="s">
        <v>438</v>
      </c>
      <c r="E131" s="27" t="s">
        <v>442</v>
      </c>
      <c r="F131" s="27" t="s">
        <v>67</v>
      </c>
      <c r="G131" s="35">
        <v>4</v>
      </c>
      <c r="H131" s="38">
        <v>0</v>
      </c>
      <c r="I131" s="38">
        <v>4</v>
      </c>
      <c r="J131" s="38" t="s">
        <v>1443</v>
      </c>
      <c r="K131" s="27" t="s">
        <v>831</v>
      </c>
      <c r="L131" s="27" t="s">
        <v>832</v>
      </c>
      <c r="M131">
        <v>0.461</v>
      </c>
      <c r="N131">
        <v>0</v>
      </c>
      <c r="O131">
        <v>0.0369</v>
      </c>
      <c r="P131" t="s">
        <v>42</v>
      </c>
      <c r="Q131" t="s">
        <v>42</v>
      </c>
      <c r="R131" t="s">
        <v>42</v>
      </c>
      <c r="S131" t="s">
        <v>42</v>
      </c>
      <c r="T131">
        <v>10</v>
      </c>
      <c r="U131" s="38">
        <v>30</v>
      </c>
      <c r="V131" s="38">
        <v>-20</v>
      </c>
      <c r="W131" s="38"/>
      <c r="X131" s="106">
        <v>1</v>
      </c>
      <c r="Y131" s="106"/>
      <c r="Z131" s="106"/>
      <c r="AA131" s="106"/>
      <c r="AB131" s="106"/>
      <c r="AC131" s="106"/>
      <c r="AD131" s="38"/>
      <c r="AE131" s="38" t="s">
        <v>45</v>
      </c>
    </row>
    <row r="132" spans="1:31">
      <c r="A132" s="33" t="s">
        <v>833</v>
      </c>
      <c r="B132" s="61" t="s">
        <v>828</v>
      </c>
      <c r="C132" s="61" t="s">
        <v>829</v>
      </c>
      <c r="D132" s="27" t="s">
        <v>438</v>
      </c>
      <c r="E132" s="27" t="s">
        <v>442</v>
      </c>
      <c r="F132" s="27" t="s">
        <v>834</v>
      </c>
      <c r="G132" s="35">
        <v>3</v>
      </c>
      <c r="H132" s="38">
        <v>0</v>
      </c>
      <c r="I132" s="38">
        <v>3</v>
      </c>
      <c r="J132" s="38" t="s">
        <v>1443</v>
      </c>
      <c r="K132" s="27" t="s">
        <v>835</v>
      </c>
      <c r="L132" s="47" t="s">
        <v>836</v>
      </c>
      <c r="M132">
        <v>0.76</v>
      </c>
      <c r="N132">
        <v>0</v>
      </c>
      <c r="O132">
        <v>0.0901</v>
      </c>
      <c r="P132">
        <v>0</v>
      </c>
      <c r="Q132">
        <v>0</v>
      </c>
      <c r="R132">
        <v>1</v>
      </c>
      <c r="S132">
        <v>1</v>
      </c>
      <c r="T132" t="s">
        <v>42</v>
      </c>
      <c r="U132" s="38"/>
      <c r="V132" s="38"/>
      <c r="W132" s="38"/>
      <c r="X132" s="106">
        <v>1</v>
      </c>
      <c r="Y132" s="106"/>
      <c r="Z132" s="106"/>
      <c r="AA132" s="106">
        <v>1</v>
      </c>
      <c r="AB132" s="106"/>
      <c r="AC132" s="106"/>
      <c r="AD132" s="38"/>
      <c r="AE132" s="38" t="s">
        <v>45</v>
      </c>
    </row>
    <row r="133" spans="1:31">
      <c r="A133" s="33" t="s">
        <v>837</v>
      </c>
      <c r="B133" s="61" t="s">
        <v>828</v>
      </c>
      <c r="C133" s="61" t="s">
        <v>829</v>
      </c>
      <c r="D133" s="27" t="s">
        <v>438</v>
      </c>
      <c r="E133" s="27" t="s">
        <v>442</v>
      </c>
      <c r="F133" s="27" t="s">
        <v>838</v>
      </c>
      <c r="G133" s="35">
        <v>3</v>
      </c>
      <c r="H133" s="38">
        <v>0</v>
      </c>
      <c r="I133" s="38">
        <v>3</v>
      </c>
      <c r="J133" s="38" t="s">
        <v>1443</v>
      </c>
      <c r="K133" s="27" t="s">
        <v>839</v>
      </c>
      <c r="L133" s="47" t="s">
        <v>840</v>
      </c>
      <c r="M133">
        <v>0.0893</v>
      </c>
      <c r="N133">
        <v>31.1</v>
      </c>
      <c r="O133">
        <v>0.118</v>
      </c>
      <c r="P133">
        <v>0</v>
      </c>
      <c r="Q133">
        <v>0</v>
      </c>
      <c r="R133">
        <v>1</v>
      </c>
      <c r="S133">
        <v>1</v>
      </c>
      <c r="T133" t="s">
        <v>42</v>
      </c>
      <c r="U133" s="38"/>
      <c r="V133" s="38"/>
      <c r="W133" s="38"/>
      <c r="X133" s="106">
        <v>1</v>
      </c>
      <c r="Y133" s="106"/>
      <c r="Z133" s="106"/>
      <c r="AA133" s="106">
        <v>1</v>
      </c>
      <c r="AB133" s="106"/>
      <c r="AC133" s="106">
        <v>1</v>
      </c>
      <c r="AD133" s="38"/>
      <c r="AE133" s="49" t="s">
        <v>45</v>
      </c>
    </row>
    <row r="134" spans="1:31">
      <c r="A134" s="33" t="s">
        <v>841</v>
      </c>
      <c r="B134" s="61" t="s">
        <v>828</v>
      </c>
      <c r="C134" s="61" t="s">
        <v>829</v>
      </c>
      <c r="D134" s="27" t="s">
        <v>438</v>
      </c>
      <c r="E134" s="27" t="s">
        <v>442</v>
      </c>
      <c r="F134" s="27" t="s">
        <v>842</v>
      </c>
      <c r="G134" s="35">
        <v>4</v>
      </c>
      <c r="H134" s="38">
        <v>0</v>
      </c>
      <c r="I134" s="38">
        <v>4</v>
      </c>
      <c r="J134" s="38" t="s">
        <v>1443</v>
      </c>
      <c r="K134" s="27" t="s">
        <v>843</v>
      </c>
      <c r="L134" s="47" t="s">
        <v>844</v>
      </c>
      <c r="M134">
        <v>0.954</v>
      </c>
      <c r="N134">
        <v>0</v>
      </c>
      <c r="O134">
        <v>0.136</v>
      </c>
      <c r="P134">
        <v>1</v>
      </c>
      <c r="Q134">
        <v>1</v>
      </c>
      <c r="R134">
        <v>3</v>
      </c>
      <c r="S134">
        <v>7</v>
      </c>
      <c r="T134" t="s">
        <v>42</v>
      </c>
      <c r="U134" s="38"/>
      <c r="V134" s="38"/>
      <c r="W134" s="38"/>
      <c r="X134" s="106">
        <v>1</v>
      </c>
      <c r="Y134" s="106"/>
      <c r="Z134" s="106"/>
      <c r="AA134" s="106">
        <v>1</v>
      </c>
      <c r="AB134" s="106"/>
      <c r="AC134" s="106"/>
      <c r="AD134" s="38"/>
      <c r="AE134" s="38" t="s">
        <v>45</v>
      </c>
    </row>
    <row r="135" spans="1:31">
      <c r="A135" s="33" t="s">
        <v>845</v>
      </c>
      <c r="B135" s="61" t="s">
        <v>828</v>
      </c>
      <c r="C135" s="61" t="s">
        <v>829</v>
      </c>
      <c r="D135" s="27" t="s">
        <v>438</v>
      </c>
      <c r="E135" s="27" t="s">
        <v>442</v>
      </c>
      <c r="F135" s="27" t="s">
        <v>846</v>
      </c>
      <c r="G135" s="35">
        <v>4</v>
      </c>
      <c r="H135" s="38">
        <v>0</v>
      </c>
      <c r="I135" s="38">
        <v>4</v>
      </c>
      <c r="J135" s="38" t="s">
        <v>1443</v>
      </c>
      <c r="K135" s="27" t="s">
        <v>848</v>
      </c>
      <c r="L135" s="27" t="s">
        <v>849</v>
      </c>
      <c r="M135">
        <v>0.0572</v>
      </c>
      <c r="N135">
        <v>0</v>
      </c>
      <c r="O135">
        <v>0.00448</v>
      </c>
      <c r="P135" t="s">
        <v>42</v>
      </c>
      <c r="Q135" t="s">
        <v>42</v>
      </c>
      <c r="R135" t="s">
        <v>42</v>
      </c>
      <c r="S135" t="s">
        <v>42</v>
      </c>
      <c r="T135">
        <v>18</v>
      </c>
      <c r="U135" s="38">
        <v>30</v>
      </c>
      <c r="V135" s="38">
        <v>-12</v>
      </c>
      <c r="W135" s="38"/>
      <c r="X135" s="106">
        <v>1</v>
      </c>
      <c r="Y135" s="106"/>
      <c r="Z135" s="106"/>
      <c r="AA135" s="106"/>
      <c r="AB135" s="106"/>
      <c r="AC135" s="106">
        <v>1</v>
      </c>
      <c r="AD135" s="38"/>
      <c r="AE135" s="49" t="s">
        <v>62</v>
      </c>
    </row>
    <row r="136" spans="1:31">
      <c r="A136" s="41" t="s">
        <v>850</v>
      </c>
      <c r="B136" s="61" t="s">
        <v>851</v>
      </c>
      <c r="C136" s="61" t="s">
        <v>822</v>
      </c>
      <c r="D136" s="27" t="s">
        <v>438</v>
      </c>
      <c r="E136" s="27" t="s">
        <v>442</v>
      </c>
      <c r="G136" s="35">
        <v>3</v>
      </c>
      <c r="H136" s="38">
        <v>0</v>
      </c>
      <c r="I136" s="38">
        <v>3</v>
      </c>
      <c r="J136" s="38" t="s">
        <v>1443</v>
      </c>
      <c r="K136" s="27" t="s">
        <v>852</v>
      </c>
      <c r="L136" s="47" t="s">
        <v>853</v>
      </c>
      <c r="M136">
        <v>0.147</v>
      </c>
      <c r="N136">
        <v>72.5</v>
      </c>
      <c r="O136">
        <v>0.102</v>
      </c>
      <c r="P136" s="7">
        <v>0</v>
      </c>
      <c r="Q136" s="7">
        <v>0</v>
      </c>
      <c r="R136" s="7">
        <v>1</v>
      </c>
      <c r="S136" s="7">
        <v>1</v>
      </c>
      <c r="U136" s="38"/>
      <c r="V136" s="38"/>
      <c r="W136" s="38"/>
      <c r="X136" s="106">
        <v>1</v>
      </c>
      <c r="Y136" s="106">
        <v>1</v>
      </c>
      <c r="Z136" s="106"/>
      <c r="AA136" s="106">
        <v>1</v>
      </c>
      <c r="AB136" s="106"/>
      <c r="AC136" s="106">
        <v>1</v>
      </c>
      <c r="AD136" s="38"/>
      <c r="AE136" s="49" t="s">
        <v>45</v>
      </c>
    </row>
    <row r="137" spans="1:31">
      <c r="A137" s="41" t="s">
        <v>854</v>
      </c>
      <c r="B137" s="61" t="s">
        <v>855</v>
      </c>
      <c r="C137" s="61" t="s">
        <v>822</v>
      </c>
      <c r="D137" s="27" t="s">
        <v>438</v>
      </c>
      <c r="E137" s="27" t="s">
        <v>442</v>
      </c>
      <c r="G137" s="35">
        <v>4</v>
      </c>
      <c r="H137" s="38">
        <v>0</v>
      </c>
      <c r="I137" s="38">
        <v>4</v>
      </c>
      <c r="J137" s="38" t="s">
        <v>1443</v>
      </c>
      <c r="K137" s="27" t="s">
        <v>857</v>
      </c>
      <c r="L137" s="27" t="s">
        <v>858</v>
      </c>
      <c r="M137">
        <v>0.841</v>
      </c>
      <c r="N137">
        <v>24.2</v>
      </c>
      <c r="O137">
        <v>0.0339</v>
      </c>
      <c r="T137" s="7">
        <v>9</v>
      </c>
      <c r="U137" s="38">
        <v>30</v>
      </c>
      <c r="V137" s="38">
        <v>-21</v>
      </c>
      <c r="W137" s="38"/>
      <c r="X137" s="106">
        <v>1</v>
      </c>
      <c r="Y137" s="106"/>
      <c r="Z137" s="106"/>
      <c r="AA137" s="106"/>
      <c r="AB137" s="106"/>
      <c r="AC137" s="106"/>
      <c r="AD137" s="38"/>
      <c r="AE137" s="38" t="s">
        <v>45</v>
      </c>
    </row>
    <row r="138" spans="1:31">
      <c r="A138" s="41" t="s">
        <v>859</v>
      </c>
      <c r="B138" s="61" t="s">
        <v>860</v>
      </c>
      <c r="C138" s="61" t="s">
        <v>822</v>
      </c>
      <c r="D138" s="27" t="s">
        <v>438</v>
      </c>
      <c r="E138" s="27" t="s">
        <v>442</v>
      </c>
      <c r="G138" s="35">
        <v>3</v>
      </c>
      <c r="H138" s="38">
        <v>0</v>
      </c>
      <c r="I138" s="38">
        <v>3</v>
      </c>
      <c r="J138" s="38" t="s">
        <v>1443</v>
      </c>
      <c r="K138" s="27" t="s">
        <v>861</v>
      </c>
      <c r="L138" s="47" t="s">
        <v>862</v>
      </c>
      <c r="M138">
        <v>0.96</v>
      </c>
      <c r="N138">
        <v>65.4</v>
      </c>
      <c r="O138">
        <v>0.0631</v>
      </c>
      <c r="P138" s="7">
        <v>0</v>
      </c>
      <c r="Q138" s="7" t="s">
        <v>159</v>
      </c>
      <c r="R138" s="7">
        <v>1</v>
      </c>
      <c r="S138" s="7">
        <v>1</v>
      </c>
      <c r="U138" s="38"/>
      <c r="V138" s="38"/>
      <c r="W138" s="38"/>
      <c r="X138" s="106">
        <v>1</v>
      </c>
      <c r="Y138" s="106">
        <v>1</v>
      </c>
      <c r="Z138" s="106"/>
      <c r="AA138" s="106">
        <v>1</v>
      </c>
      <c r="AB138" s="106"/>
      <c r="AC138" s="106">
        <v>1</v>
      </c>
      <c r="AD138" s="38"/>
      <c r="AE138" s="49" t="s">
        <v>45</v>
      </c>
    </row>
    <row r="139" spans="1:31">
      <c r="A139" s="41" t="s">
        <v>863</v>
      </c>
      <c r="B139" s="61" t="s">
        <v>864</v>
      </c>
      <c r="C139" s="61" t="s">
        <v>822</v>
      </c>
      <c r="D139" s="27" t="s">
        <v>438</v>
      </c>
      <c r="E139" s="27" t="s">
        <v>442</v>
      </c>
      <c r="G139" s="35">
        <v>4</v>
      </c>
      <c r="H139" s="38">
        <v>0</v>
      </c>
      <c r="I139" s="38">
        <v>4</v>
      </c>
      <c r="J139" s="38" t="s">
        <v>1443</v>
      </c>
      <c r="K139" s="27" t="s">
        <v>866</v>
      </c>
      <c r="L139" s="27" t="s">
        <v>867</v>
      </c>
      <c r="M139">
        <v>0.273</v>
      </c>
      <c r="N139">
        <v>88.2</v>
      </c>
      <c r="O139">
        <v>0.559</v>
      </c>
      <c r="P139" s="7">
        <v>34</v>
      </c>
      <c r="Q139" s="7">
        <v>41</v>
      </c>
      <c r="R139" s="7">
        <v>73</v>
      </c>
      <c r="S139" s="7">
        <v>88</v>
      </c>
      <c r="T139" t="s">
        <v>42</v>
      </c>
      <c r="U139" s="38"/>
      <c r="V139" s="38"/>
      <c r="W139" s="38"/>
      <c r="X139" s="106"/>
      <c r="Y139" s="106">
        <v>1</v>
      </c>
      <c r="Z139" s="106"/>
      <c r="AA139" s="106">
        <v>1</v>
      </c>
      <c r="AB139" s="106"/>
      <c r="AC139" s="106"/>
      <c r="AD139" s="38"/>
      <c r="AE139" s="38" t="s">
        <v>45</v>
      </c>
    </row>
    <row r="140" spans="1:31">
      <c r="A140" s="41" t="s">
        <v>868</v>
      </c>
      <c r="B140" s="61" t="s">
        <v>869</v>
      </c>
      <c r="C140" s="61" t="s">
        <v>870</v>
      </c>
      <c r="D140" s="27" t="s">
        <v>33</v>
      </c>
      <c r="E140" s="27" t="s">
        <v>38</v>
      </c>
      <c r="G140" s="55">
        <v>22</v>
      </c>
      <c r="H140" s="38">
        <v>5</v>
      </c>
      <c r="I140" s="38">
        <v>17</v>
      </c>
      <c r="J140" s="38" t="s">
        <v>1401</v>
      </c>
      <c r="K140" s="27" t="s">
        <v>874</v>
      </c>
      <c r="L140" s="27" t="s">
        <v>875</v>
      </c>
      <c r="M140" s="40">
        <v>0.974</v>
      </c>
      <c r="N140" s="40">
        <v>44.5</v>
      </c>
      <c r="O140" s="40">
        <v>0.37</v>
      </c>
      <c r="P140" s="40">
        <v>76</v>
      </c>
      <c r="Q140" s="40">
        <v>9</v>
      </c>
      <c r="R140" s="40">
        <v>170</v>
      </c>
      <c r="S140" s="40">
        <v>15</v>
      </c>
      <c r="T140" t="s">
        <v>42</v>
      </c>
      <c r="U140" s="38"/>
      <c r="V140" s="38"/>
      <c r="W140" s="38"/>
      <c r="X140" s="106"/>
      <c r="Y140" s="106"/>
      <c r="Z140" s="106"/>
      <c r="AA140" s="106">
        <v>1</v>
      </c>
      <c r="AB140" s="106"/>
      <c r="AC140" s="106"/>
      <c r="AD140" s="38"/>
      <c r="AE140" s="38" t="s">
        <v>45</v>
      </c>
    </row>
    <row r="141" spans="1:31">
      <c r="A141" s="41" t="s">
        <v>876</v>
      </c>
      <c r="B141" s="61" t="s">
        <v>869</v>
      </c>
      <c r="C141" s="61" t="s">
        <v>877</v>
      </c>
      <c r="D141" s="27" t="s">
        <v>55</v>
      </c>
      <c r="E141" s="27" t="s">
        <v>59</v>
      </c>
      <c r="G141" s="35">
        <v>14</v>
      </c>
      <c r="H141" s="38">
        <v>0</v>
      </c>
      <c r="I141" s="38">
        <v>14</v>
      </c>
      <c r="J141" s="38" t="s">
        <v>1404</v>
      </c>
      <c r="K141" s="27" t="s">
        <v>880</v>
      </c>
      <c r="L141" s="59" t="s">
        <v>881</v>
      </c>
      <c r="M141" s="40">
        <v>0.0693</v>
      </c>
      <c r="N141">
        <v>0</v>
      </c>
      <c r="O141" s="40">
        <v>0.00764</v>
      </c>
      <c r="P141" t="s">
        <v>42</v>
      </c>
      <c r="Q141" t="s">
        <v>42</v>
      </c>
      <c r="R141" t="s">
        <v>42</v>
      </c>
      <c r="S141" t="s">
        <v>42</v>
      </c>
      <c r="T141" s="40">
        <v>21</v>
      </c>
      <c r="U141" s="38"/>
      <c r="V141" s="38"/>
      <c r="W141" s="38">
        <v>1</v>
      </c>
      <c r="X141" s="106"/>
      <c r="Y141" s="106"/>
      <c r="Z141" s="106"/>
      <c r="AA141" s="106"/>
      <c r="AB141" s="106"/>
      <c r="AC141" s="106"/>
      <c r="AD141" s="38"/>
      <c r="AE141" s="38" t="s">
        <v>45</v>
      </c>
    </row>
    <row r="142" spans="1:31">
      <c r="A142" s="41" t="s">
        <v>882</v>
      </c>
      <c r="B142" s="61" t="s">
        <v>883</v>
      </c>
      <c r="C142" s="61" t="s">
        <v>884</v>
      </c>
      <c r="D142" s="27" t="s">
        <v>438</v>
      </c>
      <c r="E142" s="27" t="s">
        <v>442</v>
      </c>
      <c r="G142" s="35">
        <v>14</v>
      </c>
      <c r="H142" s="38">
        <v>8</v>
      </c>
      <c r="I142" s="38">
        <v>6</v>
      </c>
      <c r="J142" s="38" t="s">
        <v>1404</v>
      </c>
      <c r="K142" s="27" t="s">
        <v>887</v>
      </c>
      <c r="L142" s="27" t="s">
        <v>395</v>
      </c>
      <c r="M142">
        <v>0.0847</v>
      </c>
      <c r="N142">
        <v>37.1</v>
      </c>
      <c r="O142">
        <v>0.000319</v>
      </c>
      <c r="P142" t="s">
        <v>42</v>
      </c>
      <c r="Q142" t="s">
        <v>42</v>
      </c>
      <c r="R142" t="s">
        <v>42</v>
      </c>
      <c r="S142" t="s">
        <v>42</v>
      </c>
      <c r="T142">
        <v>220</v>
      </c>
      <c r="U142" s="38"/>
      <c r="V142" s="38"/>
      <c r="W142" s="38">
        <v>1</v>
      </c>
      <c r="X142" s="106"/>
      <c r="Y142" s="106"/>
      <c r="Z142" s="106"/>
      <c r="AA142" s="106"/>
      <c r="AB142" s="106"/>
      <c r="AC142" s="106"/>
      <c r="AD142" s="38"/>
      <c r="AE142" s="38" t="s">
        <v>45</v>
      </c>
    </row>
    <row r="143" spans="1:31">
      <c r="A143" s="41" t="s">
        <v>888</v>
      </c>
      <c r="B143" s="61" t="s">
        <v>889</v>
      </c>
      <c r="C143" s="61" t="s">
        <v>890</v>
      </c>
      <c r="D143" s="27" t="s">
        <v>438</v>
      </c>
      <c r="E143" s="27" t="s">
        <v>442</v>
      </c>
      <c r="G143" s="35">
        <v>12</v>
      </c>
      <c r="H143" s="38">
        <v>6</v>
      </c>
      <c r="I143" s="38">
        <v>6</v>
      </c>
      <c r="J143" s="38" t="s">
        <v>1401</v>
      </c>
      <c r="K143" s="27" t="s">
        <v>892</v>
      </c>
      <c r="L143" s="27" t="s">
        <v>893</v>
      </c>
      <c r="M143">
        <v>0.366</v>
      </c>
      <c r="N143">
        <v>27.5</v>
      </c>
      <c r="O143">
        <v>0.00489</v>
      </c>
      <c r="P143" t="s">
        <v>42</v>
      </c>
      <c r="Q143" t="s">
        <v>42</v>
      </c>
      <c r="R143" t="s">
        <v>42</v>
      </c>
      <c r="S143" t="s">
        <v>42</v>
      </c>
      <c r="T143">
        <v>28</v>
      </c>
      <c r="U143" s="38"/>
      <c r="V143" s="38"/>
      <c r="W143" s="38"/>
      <c r="X143" s="106"/>
      <c r="Y143" s="106"/>
      <c r="Z143" s="106"/>
      <c r="AA143" s="106"/>
      <c r="AB143" s="106"/>
      <c r="AC143" s="106"/>
      <c r="AD143" s="38"/>
      <c r="AE143" s="38" t="s">
        <v>62</v>
      </c>
    </row>
    <row r="144" spans="1:31">
      <c r="A144" s="41" t="s">
        <v>894</v>
      </c>
      <c r="B144" s="61" t="s">
        <v>895</v>
      </c>
      <c r="C144" s="61" t="s">
        <v>791</v>
      </c>
      <c r="D144" s="27" t="s">
        <v>438</v>
      </c>
      <c r="E144" s="27" t="s">
        <v>442</v>
      </c>
      <c r="G144" s="35">
        <v>7</v>
      </c>
      <c r="H144" s="38">
        <v>4</v>
      </c>
      <c r="I144" s="38">
        <v>3</v>
      </c>
      <c r="J144" s="38" t="s">
        <v>1404</v>
      </c>
      <c r="K144" s="27" t="s">
        <v>897</v>
      </c>
      <c r="L144" s="27" t="s">
        <v>898</v>
      </c>
      <c r="M144">
        <v>0.578</v>
      </c>
      <c r="N144">
        <v>0</v>
      </c>
      <c r="O144">
        <v>0.675</v>
      </c>
      <c r="P144" s="7">
        <v>376</v>
      </c>
      <c r="Q144" s="7">
        <v>897</v>
      </c>
      <c r="R144" s="7">
        <v>773</v>
      </c>
      <c r="S144" s="7">
        <v>1845</v>
      </c>
      <c r="U144" s="38"/>
      <c r="V144" s="38"/>
      <c r="W144" s="38">
        <v>1</v>
      </c>
      <c r="X144" s="106"/>
      <c r="Y144" s="106"/>
      <c r="Z144" s="106"/>
      <c r="AA144" s="106">
        <v>1</v>
      </c>
      <c r="AB144" s="106"/>
      <c r="AC144" s="106"/>
      <c r="AD144" s="38"/>
      <c r="AE144" s="38" t="s">
        <v>45</v>
      </c>
    </row>
    <row r="145" spans="1:31">
      <c r="A145" s="41" t="s">
        <v>899</v>
      </c>
      <c r="B145" s="61" t="s">
        <v>900</v>
      </c>
      <c r="C145" s="61" t="s">
        <v>791</v>
      </c>
      <c r="D145" s="27" t="s">
        <v>438</v>
      </c>
      <c r="E145" s="27" t="s">
        <v>442</v>
      </c>
      <c r="G145" s="35">
        <v>4</v>
      </c>
      <c r="H145" s="38">
        <v>2</v>
      </c>
      <c r="I145" s="38">
        <v>2</v>
      </c>
      <c r="J145" s="38" t="s">
        <v>1404</v>
      </c>
      <c r="K145" s="27" t="s">
        <v>902</v>
      </c>
      <c r="L145" s="27" t="s">
        <v>903</v>
      </c>
      <c r="M145">
        <v>0.843</v>
      </c>
      <c r="N145">
        <v>0</v>
      </c>
      <c r="O145">
        <v>0.299</v>
      </c>
      <c r="P145" s="7">
        <v>10</v>
      </c>
      <c r="Q145" s="7">
        <v>4</v>
      </c>
      <c r="R145" s="7">
        <v>23</v>
      </c>
      <c r="S145" s="7">
        <v>8</v>
      </c>
      <c r="T145" t="s">
        <v>42</v>
      </c>
      <c r="U145" s="38"/>
      <c r="V145" s="38"/>
      <c r="W145" s="38">
        <v>1</v>
      </c>
      <c r="X145" s="106"/>
      <c r="Y145" s="106"/>
      <c r="Z145" s="106"/>
      <c r="AA145" s="106">
        <v>1</v>
      </c>
      <c r="AB145" s="106"/>
      <c r="AC145" s="106"/>
      <c r="AD145" s="38"/>
      <c r="AE145" s="38" t="s">
        <v>45</v>
      </c>
    </row>
    <row r="146" spans="1:31">
      <c r="A146" s="41" t="s">
        <v>904</v>
      </c>
      <c r="B146" s="61" t="s">
        <v>1446</v>
      </c>
      <c r="C146" s="61" t="s">
        <v>796</v>
      </c>
      <c r="D146" s="27" t="s">
        <v>33</v>
      </c>
      <c r="E146" s="27" t="s">
        <v>38</v>
      </c>
      <c r="G146" s="35">
        <v>5</v>
      </c>
      <c r="H146" s="38">
        <v>0</v>
      </c>
      <c r="I146" s="38">
        <v>5</v>
      </c>
      <c r="J146" s="38" t="s">
        <v>1435</v>
      </c>
      <c r="K146" s="27" t="s">
        <v>907</v>
      </c>
      <c r="L146" s="27" t="s">
        <v>908</v>
      </c>
      <c r="M146" s="40">
        <v>0.999</v>
      </c>
      <c r="N146">
        <v>0</v>
      </c>
      <c r="O146" s="40">
        <v>0.361</v>
      </c>
      <c r="P146" s="40">
        <v>26</v>
      </c>
      <c r="Q146" s="40" t="s">
        <v>159</v>
      </c>
      <c r="R146" s="40">
        <v>57</v>
      </c>
      <c r="S146" s="40" t="s">
        <v>159</v>
      </c>
      <c r="T146" t="s">
        <v>42</v>
      </c>
      <c r="U146" s="38"/>
      <c r="V146" s="38"/>
      <c r="W146" s="38">
        <v>1</v>
      </c>
      <c r="X146" s="106"/>
      <c r="Y146" s="106"/>
      <c r="Z146" s="106"/>
      <c r="AA146" s="106">
        <v>1</v>
      </c>
      <c r="AB146" s="106"/>
      <c r="AC146" s="106"/>
      <c r="AD146" s="38"/>
      <c r="AE146" s="38" t="s">
        <v>45</v>
      </c>
    </row>
    <row r="147" spans="1:31">
      <c r="A147" s="41" t="s">
        <v>909</v>
      </c>
      <c r="B147" s="61" t="s">
        <v>1447</v>
      </c>
      <c r="C147" s="61" t="s">
        <v>796</v>
      </c>
      <c r="D147" s="27" t="s">
        <v>33</v>
      </c>
      <c r="E147" s="27" t="s">
        <v>38</v>
      </c>
      <c r="G147" s="35">
        <v>2</v>
      </c>
      <c r="H147" s="38">
        <v>0</v>
      </c>
      <c r="I147" s="38">
        <v>2</v>
      </c>
      <c r="J147" s="38" t="s">
        <v>1435</v>
      </c>
      <c r="K147" s="27" t="s">
        <v>912</v>
      </c>
      <c r="L147" s="27" t="s">
        <v>913</v>
      </c>
      <c r="M147" t="s">
        <v>43</v>
      </c>
      <c r="N147" s="40">
        <v>13.6</v>
      </c>
      <c r="O147" s="40">
        <v>0.534</v>
      </c>
      <c r="P147" s="40">
        <v>8</v>
      </c>
      <c r="Q147" s="40">
        <v>3</v>
      </c>
      <c r="R147" s="40">
        <v>17</v>
      </c>
      <c r="S147" s="40">
        <v>5</v>
      </c>
      <c r="T147" t="s">
        <v>42</v>
      </c>
      <c r="U147" s="38"/>
      <c r="V147" s="38"/>
      <c r="W147" s="38">
        <v>1</v>
      </c>
      <c r="X147" s="106">
        <v>1</v>
      </c>
      <c r="Y147" s="106"/>
      <c r="Z147" s="106"/>
      <c r="AA147" s="106">
        <v>1</v>
      </c>
      <c r="AB147" s="106"/>
      <c r="AC147" s="106"/>
      <c r="AD147" s="38"/>
      <c r="AE147" s="38" t="s">
        <v>45</v>
      </c>
    </row>
    <row r="148" spans="1:31">
      <c r="B148" s="32" t="s">
        <v>914</v>
      </c>
      <c r="C148" s="32"/>
      <c r="G148" s="105"/>
      <c r="H148" s="106"/>
      <c r="I148" s="106"/>
      <c r="J148" s="106"/>
      <c r="O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</row>
    <row r="149" spans="1:31">
      <c r="A149" s="41" t="s">
        <v>915</v>
      </c>
      <c r="B149" s="61" t="s">
        <v>916</v>
      </c>
      <c r="C149" s="61" t="s">
        <v>917</v>
      </c>
      <c r="D149" s="27" t="s">
        <v>33</v>
      </c>
      <c r="E149" s="27" t="s">
        <v>38</v>
      </c>
      <c r="G149" s="35">
        <v>23</v>
      </c>
      <c r="H149" s="38">
        <v>7</v>
      </c>
      <c r="I149" s="38">
        <v>16</v>
      </c>
      <c r="J149" s="38" t="s">
        <v>1404</v>
      </c>
      <c r="K149" s="27" t="s">
        <v>920</v>
      </c>
      <c r="L149" s="27" t="s">
        <v>921</v>
      </c>
      <c r="M149">
        <v>0.0925</v>
      </c>
      <c r="N149" s="40">
        <v>79.7</v>
      </c>
      <c r="O149" s="40">
        <v>0.000253</v>
      </c>
      <c r="P149" t="s">
        <v>42</v>
      </c>
      <c r="Q149" t="s">
        <v>42</v>
      </c>
      <c r="R149" t="s">
        <v>42</v>
      </c>
      <c r="S149" t="s">
        <v>42</v>
      </c>
      <c r="T149" s="40">
        <v>514</v>
      </c>
      <c r="U149" s="38"/>
      <c r="V149" s="38"/>
      <c r="W149" s="38">
        <v>1</v>
      </c>
      <c r="X149" s="106"/>
      <c r="Y149" s="106">
        <v>1</v>
      </c>
      <c r="Z149" s="106"/>
      <c r="AA149" s="106"/>
      <c r="AB149" s="106"/>
      <c r="AC149" s="106"/>
      <c r="AD149" s="38"/>
      <c r="AE149" s="38" t="s">
        <v>45</v>
      </c>
    </row>
    <row r="150" spans="1:31">
      <c r="A150" s="41" t="s">
        <v>922</v>
      </c>
      <c r="B150" s="61" t="s">
        <v>916</v>
      </c>
      <c r="C150" s="61" t="s">
        <v>917</v>
      </c>
      <c r="D150" s="27" t="s">
        <v>562</v>
      </c>
      <c r="E150" s="27" t="s">
        <v>926</v>
      </c>
      <c r="G150" s="35">
        <v>3</v>
      </c>
      <c r="H150" s="38">
        <v>2</v>
      </c>
      <c r="I150" s="38">
        <v>1</v>
      </c>
      <c r="J150" s="38" t="s">
        <v>1443</v>
      </c>
      <c r="K150" s="27" t="s">
        <v>927</v>
      </c>
      <c r="L150" s="27" t="s">
        <v>928</v>
      </c>
      <c r="M150">
        <v>0.00244</v>
      </c>
      <c r="N150">
        <v>0</v>
      </c>
      <c r="O150">
        <v>0.749</v>
      </c>
      <c r="P150" s="7">
        <v>150</v>
      </c>
      <c r="Q150" s="7">
        <v>62</v>
      </c>
      <c r="R150" s="7">
        <v>310</v>
      </c>
      <c r="S150" s="7">
        <v>126</v>
      </c>
      <c r="T150" t="s">
        <v>42</v>
      </c>
      <c r="U150" s="38"/>
      <c r="V150" s="38"/>
      <c r="W150" s="38"/>
      <c r="X150" s="106">
        <v>1</v>
      </c>
      <c r="Y150" s="106"/>
      <c r="Z150" s="106"/>
      <c r="AA150" s="106">
        <v>1</v>
      </c>
      <c r="AB150" s="106"/>
      <c r="AC150" s="106"/>
      <c r="AD150" s="38"/>
      <c r="AE150" s="38" t="s">
        <v>45</v>
      </c>
    </row>
    <row r="151" spans="1:31">
      <c r="A151" s="41" t="s">
        <v>929</v>
      </c>
      <c r="B151" s="61" t="s">
        <v>916</v>
      </c>
      <c r="C151" s="61" t="s">
        <v>917</v>
      </c>
      <c r="D151" s="27" t="s">
        <v>562</v>
      </c>
      <c r="E151" s="27" t="s">
        <v>932</v>
      </c>
      <c r="G151" s="35">
        <v>8</v>
      </c>
      <c r="H151" s="38">
        <v>1</v>
      </c>
      <c r="I151" s="38">
        <v>7</v>
      </c>
      <c r="J151" s="38" t="s">
        <v>1404</v>
      </c>
      <c r="K151" s="27" t="s">
        <v>933</v>
      </c>
      <c r="L151" s="27" t="s">
        <v>934</v>
      </c>
      <c r="M151">
        <v>0.15</v>
      </c>
      <c r="N151">
        <v>50</v>
      </c>
      <c r="O151">
        <v>0.000517</v>
      </c>
      <c r="P151" t="s">
        <v>42</v>
      </c>
      <c r="Q151" t="s">
        <v>42</v>
      </c>
      <c r="R151" t="s">
        <v>42</v>
      </c>
      <c r="S151" t="s">
        <v>42</v>
      </c>
      <c r="T151" s="7">
        <v>146</v>
      </c>
      <c r="U151" s="38">
        <v>50</v>
      </c>
      <c r="V151" s="38">
        <v>96</v>
      </c>
      <c r="W151" s="38">
        <v>1</v>
      </c>
      <c r="X151" s="106"/>
      <c r="Y151" s="106"/>
      <c r="Z151" s="106"/>
      <c r="AA151" s="106"/>
      <c r="AB151" s="106"/>
      <c r="AC151" s="106"/>
      <c r="AD151" s="38"/>
      <c r="AE151" s="38" t="s">
        <v>45</v>
      </c>
    </row>
    <row r="152" spans="1:31">
      <c r="A152" s="33" t="s">
        <v>935</v>
      </c>
      <c r="B152" s="61" t="s">
        <v>936</v>
      </c>
      <c r="C152" s="61" t="s">
        <v>937</v>
      </c>
      <c r="D152" s="27" t="s">
        <v>33</v>
      </c>
      <c r="E152" s="27" t="s">
        <v>38</v>
      </c>
      <c r="F152" s="27" t="s">
        <v>67</v>
      </c>
      <c r="G152" s="35">
        <v>55</v>
      </c>
      <c r="H152" s="38">
        <v>31</v>
      </c>
      <c r="I152" s="38">
        <v>24</v>
      </c>
      <c r="J152" s="38" t="s">
        <v>1448</v>
      </c>
      <c r="K152" s="27" t="s">
        <v>940</v>
      </c>
      <c r="L152" s="27" t="s">
        <v>941</v>
      </c>
      <c r="M152" s="40">
        <v>0.00125</v>
      </c>
      <c r="N152" s="40">
        <v>96.4</v>
      </c>
      <c r="O152">
        <v>1.44e-12</v>
      </c>
      <c r="Q152" t="s">
        <v>42</v>
      </c>
      <c r="R152" t="s">
        <v>42</v>
      </c>
      <c r="S152" t="s">
        <v>42</v>
      </c>
      <c r="T152" s="40">
        <v>15994</v>
      </c>
      <c r="U152" s="38"/>
      <c r="V152" s="38"/>
      <c r="W152" s="38"/>
      <c r="X152" s="106">
        <v>1</v>
      </c>
      <c r="Y152" s="106">
        <v>1</v>
      </c>
      <c r="Z152" s="106"/>
      <c r="AA152" s="106"/>
      <c r="AB152" s="106"/>
      <c r="AC152" s="106"/>
      <c r="AD152" s="38"/>
      <c r="AE152" s="38" t="s">
        <v>45</v>
      </c>
    </row>
    <row r="153" spans="1:31">
      <c r="A153" s="33" t="s">
        <v>942</v>
      </c>
      <c r="B153" s="61" t="s">
        <v>936</v>
      </c>
      <c r="C153" s="61" t="s">
        <v>943</v>
      </c>
      <c r="D153" s="27" t="s">
        <v>33</v>
      </c>
      <c r="E153" s="27" t="s">
        <v>38</v>
      </c>
      <c r="F153" s="27" t="s">
        <v>944</v>
      </c>
      <c r="G153" s="35">
        <v>6</v>
      </c>
      <c r="H153" s="38">
        <v>5</v>
      </c>
      <c r="I153" s="38">
        <v>1</v>
      </c>
      <c r="J153" s="38" t="s">
        <v>1443</v>
      </c>
      <c r="K153" s="27" t="s">
        <v>948</v>
      </c>
      <c r="L153" s="27" t="s">
        <v>949</v>
      </c>
      <c r="M153">
        <v>0.166</v>
      </c>
      <c r="N153">
        <v>0</v>
      </c>
      <c r="O153" s="123" t="s">
        <v>947</v>
      </c>
      <c r="P153" t="s">
        <v>42</v>
      </c>
      <c r="Q153" t="s">
        <v>42</v>
      </c>
      <c r="R153" t="s">
        <v>42</v>
      </c>
      <c r="S153" t="s">
        <v>42</v>
      </c>
      <c r="T153">
        <v>435</v>
      </c>
      <c r="U153" s="38">
        <v>40</v>
      </c>
      <c r="V153" s="38">
        <v>395</v>
      </c>
      <c r="W153" s="38"/>
      <c r="X153" s="106"/>
      <c r="Y153" s="106"/>
      <c r="Z153" s="106"/>
      <c r="AA153" s="106"/>
      <c r="AB153" s="106"/>
      <c r="AC153" s="106"/>
      <c r="AD153" s="38"/>
      <c r="AE153" s="38" t="s">
        <v>62</v>
      </c>
    </row>
    <row r="154" spans="1:31">
      <c r="A154" s="33" t="s">
        <v>950</v>
      </c>
      <c r="B154" s="61" t="s">
        <v>936</v>
      </c>
      <c r="C154" s="61" t="s">
        <v>943</v>
      </c>
      <c r="D154" s="27" t="s">
        <v>33</v>
      </c>
      <c r="E154" s="27" t="s">
        <v>38</v>
      </c>
      <c r="F154" s="27" t="s">
        <v>951</v>
      </c>
      <c r="G154" s="35">
        <v>6</v>
      </c>
      <c r="H154" s="38">
        <v>5</v>
      </c>
      <c r="I154" s="38">
        <v>1</v>
      </c>
      <c r="J154" s="38" t="s">
        <v>1443</v>
      </c>
      <c r="K154" s="27" t="s">
        <v>948</v>
      </c>
      <c r="L154" s="27" t="s">
        <v>953</v>
      </c>
      <c r="M154">
        <v>0.486</v>
      </c>
      <c r="N154">
        <v>92.4</v>
      </c>
      <c r="O154">
        <v>0.00842</v>
      </c>
      <c r="P154" t="s">
        <v>42</v>
      </c>
      <c r="Q154" t="s">
        <v>42</v>
      </c>
      <c r="R154" t="s">
        <v>42</v>
      </c>
      <c r="S154" t="s">
        <v>42</v>
      </c>
      <c r="T154">
        <v>753</v>
      </c>
      <c r="U154" s="38">
        <v>40</v>
      </c>
      <c r="V154" s="38">
        <v>713</v>
      </c>
      <c r="W154" s="38"/>
      <c r="X154" s="106"/>
      <c r="Y154" s="106">
        <v>1</v>
      </c>
      <c r="Z154" s="106"/>
      <c r="AA154" s="106"/>
      <c r="AB154" s="106"/>
      <c r="AC154" s="106"/>
      <c r="AD154" s="38"/>
      <c r="AE154" s="38" t="s">
        <v>45</v>
      </c>
    </row>
    <row r="155" spans="1:31">
      <c r="A155" s="41" t="s">
        <v>954</v>
      </c>
      <c r="B155" s="61" t="s">
        <v>936</v>
      </c>
      <c r="C155" s="61" t="s">
        <v>943</v>
      </c>
      <c r="D155" s="27" t="s">
        <v>55</v>
      </c>
      <c r="E155" s="27" t="s">
        <v>59</v>
      </c>
      <c r="G155" s="35">
        <v>7</v>
      </c>
      <c r="H155" s="38">
        <v>6</v>
      </c>
      <c r="I155" s="38">
        <v>1</v>
      </c>
      <c r="J155" s="38" t="s">
        <v>1443</v>
      </c>
      <c r="K155" s="27" t="s">
        <v>958</v>
      </c>
      <c r="L155" s="27" t="s">
        <v>959</v>
      </c>
      <c r="M155">
        <v>0.164</v>
      </c>
      <c r="N155">
        <v>8.1</v>
      </c>
      <c r="O155">
        <v>0.0079</v>
      </c>
      <c r="P155" t="s">
        <v>42</v>
      </c>
      <c r="Q155" t="s">
        <v>42</v>
      </c>
      <c r="R155" t="s">
        <v>42</v>
      </c>
      <c r="S155" t="s">
        <v>42</v>
      </c>
      <c r="T155" s="7">
        <v>13</v>
      </c>
      <c r="U155" s="38">
        <v>45</v>
      </c>
      <c r="V155" s="38">
        <v>-32</v>
      </c>
      <c r="W155" s="38"/>
      <c r="X155" s="106">
        <v>1</v>
      </c>
      <c r="Y155" s="106"/>
      <c r="Z155" s="106"/>
      <c r="AA155" s="106"/>
      <c r="AB155" s="106"/>
      <c r="AC155" s="106"/>
      <c r="AD155" s="38"/>
      <c r="AE155" s="38" t="s">
        <v>45</v>
      </c>
    </row>
    <row r="156" spans="1:31">
      <c r="A156" s="41" t="s">
        <v>960</v>
      </c>
      <c r="B156" s="61" t="s">
        <v>936</v>
      </c>
      <c r="C156" s="61" t="s">
        <v>961</v>
      </c>
      <c r="D156" s="28" t="s">
        <v>562</v>
      </c>
      <c r="E156" s="27" t="s">
        <v>565</v>
      </c>
      <c r="F156" s="59"/>
      <c r="G156" s="35">
        <v>9</v>
      </c>
      <c r="H156" s="38">
        <v>2</v>
      </c>
      <c r="I156" s="38">
        <v>7</v>
      </c>
      <c r="J156" s="38" t="s">
        <v>1443</v>
      </c>
      <c r="K156" s="59" t="s">
        <v>964</v>
      </c>
      <c r="L156" s="27" t="s">
        <v>965</v>
      </c>
      <c r="M156">
        <v>0.0812</v>
      </c>
      <c r="N156">
        <v>41.8</v>
      </c>
      <c r="O156">
        <v>0.000478</v>
      </c>
      <c r="P156" t="s">
        <v>42</v>
      </c>
      <c r="Q156" t="s">
        <v>42</v>
      </c>
      <c r="R156" t="s">
        <v>42</v>
      </c>
      <c r="S156" t="s">
        <v>42</v>
      </c>
      <c r="T156" s="7">
        <v>146</v>
      </c>
      <c r="U156" s="38">
        <v>55</v>
      </c>
      <c r="V156" s="38">
        <v>91</v>
      </c>
      <c r="W156" s="38"/>
      <c r="X156" s="106"/>
      <c r="Y156" s="106"/>
      <c r="Z156" s="106"/>
      <c r="AA156" s="106"/>
      <c r="AB156" s="106"/>
      <c r="AC156" s="106"/>
      <c r="AD156" s="38"/>
      <c r="AE156" s="38" t="s">
        <v>62</v>
      </c>
    </row>
    <row r="157" spans="1:31">
      <c r="A157" s="41" t="s">
        <v>966</v>
      </c>
      <c r="B157" s="61" t="s">
        <v>936</v>
      </c>
      <c r="C157" s="61" t="s">
        <v>917</v>
      </c>
      <c r="D157" s="27" t="s">
        <v>562</v>
      </c>
      <c r="E157" s="27" t="s">
        <v>926</v>
      </c>
      <c r="G157" s="35">
        <v>2</v>
      </c>
      <c r="H157" s="38">
        <v>2</v>
      </c>
      <c r="I157" s="38">
        <v>0</v>
      </c>
      <c r="J157" s="38" t="s">
        <v>1443</v>
      </c>
      <c r="K157" s="27" t="s">
        <v>970</v>
      </c>
      <c r="L157" s="27" t="s">
        <v>971</v>
      </c>
      <c r="M157">
        <v>0.202</v>
      </c>
      <c r="N157">
        <v>0.3</v>
      </c>
      <c r="O157">
        <v>0.889</v>
      </c>
      <c r="P157" s="7">
        <v>178</v>
      </c>
      <c r="Q157" s="7">
        <v>23</v>
      </c>
      <c r="R157" s="7">
        <v>365</v>
      </c>
      <c r="S157" s="7">
        <v>46</v>
      </c>
      <c r="T157" t="s">
        <v>42</v>
      </c>
      <c r="U157" s="38"/>
      <c r="V157" s="38"/>
      <c r="W157" s="38"/>
      <c r="X157" s="106"/>
      <c r="Y157" s="106"/>
      <c r="Z157" s="106"/>
      <c r="AA157" s="106">
        <v>1</v>
      </c>
      <c r="AB157" s="106"/>
      <c r="AC157" s="106"/>
      <c r="AD157" s="38"/>
      <c r="AE157" s="38" t="s">
        <v>45</v>
      </c>
    </row>
    <row r="158" spans="1:31">
      <c r="A158" s="41" t="s">
        <v>972</v>
      </c>
      <c r="B158" s="61" t="s">
        <v>936</v>
      </c>
      <c r="C158" s="61" t="s">
        <v>917</v>
      </c>
      <c r="D158" s="27" t="s">
        <v>562</v>
      </c>
      <c r="E158" s="27" t="s">
        <v>932</v>
      </c>
      <c r="G158" s="35">
        <v>3</v>
      </c>
      <c r="H158" s="38">
        <v>0</v>
      </c>
      <c r="I158" s="38">
        <v>3</v>
      </c>
      <c r="J158" s="38" t="s">
        <v>1443</v>
      </c>
      <c r="K158" s="27" t="s">
        <v>974</v>
      </c>
      <c r="L158" s="27" t="s">
        <v>975</v>
      </c>
      <c r="M158">
        <v>0.315</v>
      </c>
      <c r="N158">
        <v>72.6</v>
      </c>
      <c r="O158">
        <v>0.505</v>
      </c>
      <c r="P158" s="7">
        <v>10</v>
      </c>
      <c r="Q158" s="7">
        <v>5</v>
      </c>
      <c r="R158" s="7">
        <v>22</v>
      </c>
      <c r="S158" s="7">
        <v>10</v>
      </c>
      <c r="T158" t="s">
        <v>42</v>
      </c>
      <c r="U158" s="38"/>
      <c r="V158" s="38"/>
      <c r="W158" s="38"/>
      <c r="X158" s="106"/>
      <c r="Y158" s="106">
        <v>1</v>
      </c>
      <c r="Z158" s="106"/>
      <c r="AA158" s="106">
        <v>1</v>
      </c>
      <c r="AB158" s="106"/>
      <c r="AC158" s="106"/>
      <c r="AD158" s="38"/>
      <c r="AE158" s="38" t="s">
        <v>45</v>
      </c>
    </row>
    <row r="159" spans="1:31">
      <c r="A159" s="33" t="s">
        <v>976</v>
      </c>
      <c r="B159" s="61" t="s">
        <v>1449</v>
      </c>
      <c r="C159" s="61" t="s">
        <v>1450</v>
      </c>
      <c r="D159" s="27" t="s">
        <v>438</v>
      </c>
      <c r="E159" s="27" t="s">
        <v>442</v>
      </c>
      <c r="F159" s="27" t="s">
        <v>67</v>
      </c>
      <c r="G159" s="35">
        <v>24</v>
      </c>
      <c r="H159" s="38">
        <v>2</v>
      </c>
      <c r="I159" s="38">
        <v>22</v>
      </c>
      <c r="J159" s="38" t="s">
        <v>1451</v>
      </c>
      <c r="K159" s="59" t="s">
        <v>982</v>
      </c>
      <c r="L159" s="27" t="s">
        <v>983</v>
      </c>
      <c r="M159">
        <v>0.000567</v>
      </c>
      <c r="N159">
        <v>89</v>
      </c>
      <c r="O159" s="123" t="s">
        <v>981</v>
      </c>
      <c r="P159" t="s">
        <v>42</v>
      </c>
      <c r="Q159" t="s">
        <v>42</v>
      </c>
      <c r="R159" t="s">
        <v>42</v>
      </c>
      <c r="S159" t="s">
        <v>42</v>
      </c>
      <c r="T159">
        <v>2683</v>
      </c>
      <c r="U159" s="38"/>
      <c r="V159" s="38"/>
      <c r="W159" s="38"/>
      <c r="X159" s="106">
        <v>1</v>
      </c>
      <c r="Y159" s="106">
        <v>1</v>
      </c>
      <c r="Z159" s="106"/>
      <c r="AA159" s="106"/>
      <c r="AB159" s="106"/>
      <c r="AC159" s="106"/>
      <c r="AD159" s="38" t="s">
        <v>1452</v>
      </c>
      <c r="AE159" s="49" t="s">
        <v>45</v>
      </c>
    </row>
    <row r="160" spans="1:31">
      <c r="A160" s="33" t="s">
        <v>984</v>
      </c>
      <c r="B160" s="61" t="s">
        <v>1449</v>
      </c>
      <c r="C160" s="61" t="s">
        <v>1450</v>
      </c>
      <c r="D160" s="27" t="s">
        <v>438</v>
      </c>
      <c r="E160" s="27" t="s">
        <v>442</v>
      </c>
      <c r="F160" s="27" t="s">
        <v>985</v>
      </c>
      <c r="G160" s="35">
        <v>2</v>
      </c>
      <c r="H160" s="38">
        <v>0</v>
      </c>
      <c r="I160" s="38">
        <v>2</v>
      </c>
      <c r="J160" s="38" t="s">
        <v>1443</v>
      </c>
      <c r="K160" s="27" t="s">
        <v>987</v>
      </c>
      <c r="L160" s="27" t="s">
        <v>988</v>
      </c>
      <c r="M160">
        <v>0.598</v>
      </c>
      <c r="N160">
        <v>48.6</v>
      </c>
      <c r="O160">
        <v>0.746</v>
      </c>
      <c r="P160">
        <v>252</v>
      </c>
      <c r="Q160">
        <v>159</v>
      </c>
      <c r="R160">
        <v>519</v>
      </c>
      <c r="S160">
        <v>326</v>
      </c>
      <c r="T160" t="s">
        <v>42</v>
      </c>
      <c r="U160" s="38"/>
      <c r="V160" s="38"/>
      <c r="W160" s="38"/>
      <c r="X160" s="106"/>
      <c r="Y160" s="106"/>
      <c r="Z160" s="106"/>
      <c r="AA160" s="106">
        <v>1</v>
      </c>
      <c r="AB160" s="106"/>
      <c r="AC160" s="106"/>
      <c r="AD160" s="38" t="s">
        <v>1452</v>
      </c>
      <c r="AE160" s="49" t="s">
        <v>62</v>
      </c>
    </row>
    <row r="161" spans="1:31">
      <c r="A161" s="33" t="s">
        <v>989</v>
      </c>
      <c r="B161" s="61" t="s">
        <v>1449</v>
      </c>
      <c r="C161" s="61" t="s">
        <v>1450</v>
      </c>
      <c r="D161" s="27" t="s">
        <v>438</v>
      </c>
      <c r="E161" s="27" t="s">
        <v>442</v>
      </c>
      <c r="F161" s="27" t="s">
        <v>990</v>
      </c>
      <c r="G161" s="35">
        <v>2</v>
      </c>
      <c r="H161" s="38">
        <v>0</v>
      </c>
      <c r="I161" s="38">
        <v>2</v>
      </c>
      <c r="J161" s="38" t="s">
        <v>1443</v>
      </c>
      <c r="K161" s="27" t="s">
        <v>992</v>
      </c>
      <c r="L161" s="27" t="s">
        <v>993</v>
      </c>
      <c r="M161">
        <v>0.959</v>
      </c>
      <c r="N161">
        <v>33.8</v>
      </c>
      <c r="O161">
        <v>0.000141</v>
      </c>
      <c r="P161" t="s">
        <v>42</v>
      </c>
      <c r="Q161" t="s">
        <v>42</v>
      </c>
      <c r="R161" t="s">
        <v>42</v>
      </c>
      <c r="S161" t="s">
        <v>42</v>
      </c>
      <c r="T161">
        <v>190</v>
      </c>
      <c r="U161" s="38">
        <v>20</v>
      </c>
      <c r="V161" s="38">
        <v>170</v>
      </c>
      <c r="W161" s="38"/>
      <c r="X161" s="106"/>
      <c r="Y161" s="106"/>
      <c r="Z161" s="106"/>
      <c r="AA161" s="106"/>
      <c r="AB161" s="106"/>
      <c r="AC161" s="106"/>
      <c r="AD161" s="38" t="s">
        <v>1452</v>
      </c>
      <c r="AE161" s="49" t="s">
        <v>146</v>
      </c>
    </row>
    <row r="162" spans="1:31">
      <c r="A162" s="33" t="s">
        <v>994</v>
      </c>
      <c r="B162" s="61" t="s">
        <v>1449</v>
      </c>
      <c r="C162" s="61" t="s">
        <v>1450</v>
      </c>
      <c r="D162" s="27" t="s">
        <v>438</v>
      </c>
      <c r="E162" s="27" t="s">
        <v>442</v>
      </c>
      <c r="F162" s="27" t="s">
        <v>995</v>
      </c>
      <c r="G162" s="35">
        <v>2</v>
      </c>
      <c r="H162" s="38">
        <v>0</v>
      </c>
      <c r="I162" s="38">
        <v>2</v>
      </c>
      <c r="J162" s="38" t="s">
        <v>1443</v>
      </c>
      <c r="K162" s="27" t="s">
        <v>997</v>
      </c>
      <c r="L162" s="27" t="s">
        <v>998</v>
      </c>
      <c r="M162">
        <v>0.00608</v>
      </c>
      <c r="N162">
        <v>0</v>
      </c>
      <c r="O162">
        <v>0.000909</v>
      </c>
      <c r="P162" t="s">
        <v>42</v>
      </c>
      <c r="Q162" t="s">
        <v>42</v>
      </c>
      <c r="R162" t="s">
        <v>42</v>
      </c>
      <c r="S162" t="s">
        <v>42</v>
      </c>
      <c r="T162">
        <v>13</v>
      </c>
      <c r="U162" s="38">
        <v>20</v>
      </c>
      <c r="V162" s="38">
        <v>-7</v>
      </c>
      <c r="W162" s="38"/>
      <c r="X162" s="106">
        <v>1</v>
      </c>
      <c r="Y162" s="106"/>
      <c r="Z162" s="106"/>
      <c r="AA162" s="106"/>
      <c r="AB162" s="106"/>
      <c r="AC162" s="106">
        <v>1</v>
      </c>
      <c r="AD162" s="38" t="s">
        <v>1452</v>
      </c>
      <c r="AE162" s="49" t="s">
        <v>62</v>
      </c>
    </row>
    <row r="163" spans="1:31">
      <c r="A163" s="33" t="s">
        <v>999</v>
      </c>
      <c r="B163" s="61" t="s">
        <v>1449</v>
      </c>
      <c r="C163" s="61" t="s">
        <v>1450</v>
      </c>
      <c r="D163" s="27" t="s">
        <v>438</v>
      </c>
      <c r="E163" s="27" t="s">
        <v>442</v>
      </c>
      <c r="F163" s="27" t="s">
        <v>1000</v>
      </c>
      <c r="G163" s="35">
        <v>2</v>
      </c>
      <c r="H163" s="38">
        <v>0</v>
      </c>
      <c r="I163" s="38">
        <v>2</v>
      </c>
      <c r="J163" s="38" t="s">
        <v>1443</v>
      </c>
      <c r="K163" s="27" t="s">
        <v>1002</v>
      </c>
      <c r="L163" s="27" t="s">
        <v>1003</v>
      </c>
      <c r="M163">
        <v>0.924</v>
      </c>
      <c r="N163">
        <v>0.1</v>
      </c>
      <c r="O163">
        <v>0.000987</v>
      </c>
      <c r="P163" t="s">
        <v>42</v>
      </c>
      <c r="Q163" t="s">
        <v>42</v>
      </c>
      <c r="R163" t="s">
        <v>42</v>
      </c>
      <c r="S163" t="s">
        <v>42</v>
      </c>
      <c r="T163">
        <v>76</v>
      </c>
      <c r="U163" s="38">
        <v>20</v>
      </c>
      <c r="V163" s="38">
        <v>56</v>
      </c>
      <c r="W163" s="38"/>
      <c r="X163" s="106"/>
      <c r="Y163" s="106"/>
      <c r="Z163" s="106"/>
      <c r="AA163" s="106"/>
      <c r="AB163" s="106"/>
      <c r="AC163" s="106"/>
      <c r="AD163" s="38" t="s">
        <v>1452</v>
      </c>
      <c r="AE163" s="49" t="s">
        <v>146</v>
      </c>
    </row>
    <row r="164" spans="1:31">
      <c r="A164" s="33" t="s">
        <v>1004</v>
      </c>
      <c r="B164" s="61" t="s">
        <v>1449</v>
      </c>
      <c r="C164" s="61" t="s">
        <v>1450</v>
      </c>
      <c r="D164" s="27" t="s">
        <v>438</v>
      </c>
      <c r="E164" s="27" t="s">
        <v>442</v>
      </c>
      <c r="F164" s="27" t="s">
        <v>1005</v>
      </c>
      <c r="G164" s="35">
        <v>2</v>
      </c>
      <c r="H164" s="38">
        <v>0</v>
      </c>
      <c r="I164" s="38">
        <v>2</v>
      </c>
      <c r="J164" s="38" t="s">
        <v>1443</v>
      </c>
      <c r="K164" s="27" t="s">
        <v>1007</v>
      </c>
      <c r="L164" s="27" t="s">
        <v>1008</v>
      </c>
      <c r="M164">
        <v>0.467</v>
      </c>
      <c r="N164">
        <v>0</v>
      </c>
      <c r="O164">
        <v>0.00018</v>
      </c>
      <c r="P164" t="s">
        <v>42</v>
      </c>
      <c r="Q164" t="s">
        <v>42</v>
      </c>
      <c r="R164" t="s">
        <v>42</v>
      </c>
      <c r="S164" t="s">
        <v>42</v>
      </c>
      <c r="T164">
        <v>35</v>
      </c>
      <c r="U164" s="38">
        <v>20</v>
      </c>
      <c r="V164" s="38">
        <v>15</v>
      </c>
      <c r="W164" s="38"/>
      <c r="X164" s="106"/>
      <c r="Y164" s="106"/>
      <c r="Z164" s="106"/>
      <c r="AA164" s="106"/>
      <c r="AB164" s="106"/>
      <c r="AC164" s="106">
        <v>1</v>
      </c>
      <c r="AD164" s="38" t="s">
        <v>1452</v>
      </c>
      <c r="AE164" s="38" t="s">
        <v>62</v>
      </c>
    </row>
    <row r="165" spans="1:31">
      <c r="A165" s="33" t="s">
        <v>1009</v>
      </c>
      <c r="B165" s="61" t="s">
        <v>1449</v>
      </c>
      <c r="C165" s="61" t="s">
        <v>1450</v>
      </c>
      <c r="D165" s="27" t="s">
        <v>438</v>
      </c>
      <c r="E165" s="27" t="s">
        <v>442</v>
      </c>
      <c r="F165" s="27" t="s">
        <v>1010</v>
      </c>
      <c r="G165" s="35">
        <v>2</v>
      </c>
      <c r="H165" s="38">
        <v>0</v>
      </c>
      <c r="I165" s="38">
        <v>2</v>
      </c>
      <c r="J165" s="38" t="s">
        <v>1443</v>
      </c>
      <c r="K165" s="27" t="s">
        <v>1012</v>
      </c>
      <c r="L165" s="27" t="s">
        <v>1013</v>
      </c>
      <c r="M165">
        <v>0.0331</v>
      </c>
      <c r="N165">
        <v>68.4</v>
      </c>
      <c r="O165">
        <v>0.00353</v>
      </c>
      <c r="P165" t="s">
        <v>42</v>
      </c>
      <c r="Q165" t="s">
        <v>42</v>
      </c>
      <c r="R165" t="s">
        <v>42</v>
      </c>
      <c r="S165" t="s">
        <v>42</v>
      </c>
      <c r="T165">
        <v>209</v>
      </c>
      <c r="U165" s="38">
        <v>20</v>
      </c>
      <c r="V165" s="38">
        <v>189</v>
      </c>
      <c r="W165" s="38"/>
      <c r="X165" s="106">
        <v>1</v>
      </c>
      <c r="Y165" s="106">
        <v>1</v>
      </c>
      <c r="Z165" s="106"/>
      <c r="AA165" s="106"/>
      <c r="AB165" s="106"/>
      <c r="AC165" s="106"/>
      <c r="AD165" s="38" t="s">
        <v>1452</v>
      </c>
      <c r="AE165" s="49" t="s">
        <v>45</v>
      </c>
    </row>
    <row r="166" spans="1:31">
      <c r="A166" s="41" t="s">
        <v>1014</v>
      </c>
      <c r="B166" s="61" t="s">
        <v>1453</v>
      </c>
      <c r="C166" s="61" t="s">
        <v>1016</v>
      </c>
      <c r="D166" s="27" t="s">
        <v>33</v>
      </c>
      <c r="E166" s="27" t="s">
        <v>38</v>
      </c>
      <c r="G166" s="55">
        <v>14</v>
      </c>
      <c r="H166" s="38">
        <v>5</v>
      </c>
      <c r="I166" s="38">
        <v>9</v>
      </c>
      <c r="J166" s="38" t="s">
        <v>1443</v>
      </c>
      <c r="K166" s="27" t="s">
        <v>1019</v>
      </c>
      <c r="L166" s="27" t="s">
        <v>1020</v>
      </c>
      <c r="M166" s="40">
        <v>0.586</v>
      </c>
      <c r="N166" s="40">
        <v>67</v>
      </c>
      <c r="O166" s="40">
        <v>0.71</v>
      </c>
      <c r="P166" s="40">
        <v>250</v>
      </c>
      <c r="Q166" s="40">
        <v>21</v>
      </c>
      <c r="R166" s="40">
        <v>522</v>
      </c>
      <c r="S166" s="40">
        <v>35</v>
      </c>
      <c r="T166" t="s">
        <v>42</v>
      </c>
      <c r="U166" s="38"/>
      <c r="V166" s="38"/>
      <c r="W166" s="38"/>
      <c r="X166" s="106"/>
      <c r="Y166" s="106">
        <v>1</v>
      </c>
      <c r="Z166" s="106"/>
      <c r="AA166" s="106">
        <v>1</v>
      </c>
      <c r="AB166" s="106"/>
      <c r="AC166" s="106"/>
      <c r="AD166" s="38"/>
      <c r="AE166" s="38" t="s">
        <v>45</v>
      </c>
    </row>
    <row r="167" spans="1:31">
      <c r="A167" s="41" t="s">
        <v>1021</v>
      </c>
      <c r="B167" s="61" t="s">
        <v>1453</v>
      </c>
      <c r="C167" s="61" t="s">
        <v>1022</v>
      </c>
      <c r="D167" s="28" t="s">
        <v>556</v>
      </c>
      <c r="E167" s="27" t="s">
        <v>558</v>
      </c>
      <c r="G167" s="35">
        <v>22</v>
      </c>
      <c r="H167" s="38">
        <v>7</v>
      </c>
      <c r="I167" s="38">
        <v>15</v>
      </c>
      <c r="J167" s="38" t="s">
        <v>1404</v>
      </c>
      <c r="K167" s="27" t="s">
        <v>1025</v>
      </c>
      <c r="L167" s="27" t="s">
        <v>1026</v>
      </c>
      <c r="M167">
        <v>0.146</v>
      </c>
      <c r="N167">
        <v>94.8</v>
      </c>
      <c r="O167">
        <v>0.138</v>
      </c>
      <c r="P167" s="7">
        <v>11</v>
      </c>
      <c r="Q167" s="7">
        <v>9</v>
      </c>
      <c r="R167" s="7">
        <v>37</v>
      </c>
      <c r="S167" s="7">
        <v>30</v>
      </c>
      <c r="T167" t="s">
        <v>42</v>
      </c>
      <c r="U167" s="38"/>
      <c r="V167" s="38"/>
      <c r="W167" s="38">
        <v>1</v>
      </c>
      <c r="X167" s="106"/>
      <c r="Y167" s="106">
        <v>1</v>
      </c>
      <c r="Z167" s="106"/>
      <c r="AA167" s="106">
        <v>1</v>
      </c>
      <c r="AB167" s="106"/>
      <c r="AC167" s="106"/>
      <c r="AD167" s="38"/>
      <c r="AE167" s="38" t="s">
        <v>45</v>
      </c>
    </row>
    <row r="168" spans="1:31">
      <c r="A168" s="41" t="s">
        <v>1028</v>
      </c>
      <c r="B168" s="61" t="s">
        <v>1453</v>
      </c>
      <c r="C168" s="61" t="s">
        <v>917</v>
      </c>
      <c r="D168" s="27" t="s">
        <v>562</v>
      </c>
      <c r="E168" s="27" t="s">
        <v>926</v>
      </c>
      <c r="G168" s="35">
        <v>2</v>
      </c>
      <c r="H168" s="38">
        <v>2</v>
      </c>
      <c r="I168" s="38">
        <v>0</v>
      </c>
      <c r="J168" s="38" t="s">
        <v>1404</v>
      </c>
      <c r="K168" s="27" t="s">
        <v>1030</v>
      </c>
      <c r="L168" s="27" t="s">
        <v>1031</v>
      </c>
      <c r="M168">
        <v>0.0544</v>
      </c>
      <c r="N168" s="40">
        <v>0</v>
      </c>
      <c r="O168" s="40">
        <v>0.434</v>
      </c>
      <c r="P168" s="7">
        <v>23</v>
      </c>
      <c r="Q168" s="7">
        <v>45</v>
      </c>
      <c r="R168" s="7">
        <v>48</v>
      </c>
      <c r="S168" s="7">
        <v>96</v>
      </c>
      <c r="U168" s="38"/>
      <c r="V168" s="38"/>
      <c r="W168" s="38">
        <v>1</v>
      </c>
      <c r="X168" s="106"/>
      <c r="Y168" s="106"/>
      <c r="Z168" s="106"/>
      <c r="AA168" s="106">
        <v>1</v>
      </c>
      <c r="AB168" s="106"/>
      <c r="AC168" s="106"/>
      <c r="AD168" s="38"/>
      <c r="AE168" s="38" t="s">
        <v>45</v>
      </c>
    </row>
    <row r="169" spans="1:31">
      <c r="A169" s="41" t="s">
        <v>1032</v>
      </c>
      <c r="B169" s="61" t="s">
        <v>1453</v>
      </c>
      <c r="C169" s="61" t="s">
        <v>917</v>
      </c>
      <c r="D169" s="27" t="s">
        <v>562</v>
      </c>
      <c r="E169" s="27" t="s">
        <v>932</v>
      </c>
      <c r="G169" s="35">
        <v>2</v>
      </c>
      <c r="H169" s="38">
        <v>1</v>
      </c>
      <c r="I169" s="38">
        <v>1</v>
      </c>
      <c r="J169" s="38" t="s">
        <v>1404</v>
      </c>
      <c r="K169" s="27" t="s">
        <v>1035</v>
      </c>
      <c r="L169" s="27" t="s">
        <v>1036</v>
      </c>
      <c r="M169">
        <v>0.213</v>
      </c>
      <c r="N169">
        <v>0</v>
      </c>
      <c r="O169">
        <v>0.0458</v>
      </c>
      <c r="P169" t="s">
        <v>42</v>
      </c>
      <c r="Q169" t="s">
        <v>42</v>
      </c>
      <c r="R169" t="s">
        <v>42</v>
      </c>
      <c r="S169" t="s">
        <v>42</v>
      </c>
      <c r="T169" s="48">
        <v>4</v>
      </c>
      <c r="U169" s="38">
        <v>20</v>
      </c>
      <c r="V169" s="38">
        <v>-16</v>
      </c>
      <c r="W169" s="38">
        <v>1</v>
      </c>
      <c r="X169" s="106">
        <v>1</v>
      </c>
      <c r="Y169" s="106"/>
      <c r="Z169" s="106"/>
      <c r="AA169" s="106"/>
      <c r="AB169" s="106"/>
      <c r="AC169" s="106"/>
      <c r="AD169" s="38"/>
      <c r="AE169" s="38" t="s">
        <v>45</v>
      </c>
    </row>
    <row r="170" spans="1:31">
      <c r="A170" s="41" t="s">
        <v>1037</v>
      </c>
      <c r="B170" s="61" t="s">
        <v>1454</v>
      </c>
      <c r="C170" s="61" t="s">
        <v>1455</v>
      </c>
      <c r="D170" s="27" t="s">
        <v>33</v>
      </c>
      <c r="E170" s="27" t="s">
        <v>38</v>
      </c>
      <c r="G170" s="35">
        <v>7</v>
      </c>
      <c r="H170" s="38">
        <v>3</v>
      </c>
      <c r="I170" s="38">
        <v>4</v>
      </c>
      <c r="J170" s="38" t="s">
        <v>1443</v>
      </c>
      <c r="K170" s="27" t="s">
        <v>1041</v>
      </c>
      <c r="L170" s="27" t="s">
        <v>1042</v>
      </c>
      <c r="M170">
        <v>0.03</v>
      </c>
      <c r="N170">
        <v>39.7</v>
      </c>
      <c r="O170">
        <v>0.0289</v>
      </c>
      <c r="P170" t="s">
        <v>42</v>
      </c>
      <c r="Q170" t="s">
        <v>42</v>
      </c>
      <c r="R170" t="s">
        <v>42</v>
      </c>
      <c r="S170" t="s">
        <v>42</v>
      </c>
      <c r="T170" s="7">
        <v>34</v>
      </c>
      <c r="U170" s="38">
        <v>45</v>
      </c>
      <c r="V170" s="38">
        <v>-11</v>
      </c>
      <c r="W170" s="38"/>
      <c r="X170" s="106">
        <v>1</v>
      </c>
      <c r="Y170" s="106"/>
      <c r="Z170" s="106"/>
      <c r="AA170" s="106"/>
      <c r="AB170" s="106"/>
      <c r="AC170" s="106"/>
      <c r="AD170" s="38"/>
      <c r="AE170" s="38" t="s">
        <v>45</v>
      </c>
    </row>
    <row r="171" spans="1:31">
      <c r="A171" s="41" t="s">
        <v>1043</v>
      </c>
      <c r="B171" s="61" t="s">
        <v>1456</v>
      </c>
      <c r="C171" s="61" t="s">
        <v>1045</v>
      </c>
      <c r="D171" s="27" t="s">
        <v>438</v>
      </c>
      <c r="E171" s="27" t="s">
        <v>442</v>
      </c>
      <c r="G171" s="35">
        <v>7</v>
      </c>
      <c r="H171" s="38">
        <v>3</v>
      </c>
      <c r="I171" s="38">
        <v>4</v>
      </c>
      <c r="J171" s="38" t="s">
        <v>1443</v>
      </c>
      <c r="K171" s="27" t="s">
        <v>1047</v>
      </c>
      <c r="L171" s="27" t="s">
        <v>1048</v>
      </c>
      <c r="M171">
        <v>0.0121</v>
      </c>
      <c r="N171">
        <v>6.4</v>
      </c>
      <c r="O171">
        <v>0.0417</v>
      </c>
      <c r="P171" t="s">
        <v>42</v>
      </c>
      <c r="Q171" t="s">
        <v>42</v>
      </c>
      <c r="R171" t="s">
        <v>42</v>
      </c>
      <c r="S171" t="s">
        <v>42</v>
      </c>
      <c r="T171" s="7">
        <v>35</v>
      </c>
      <c r="U171" s="38">
        <v>45</v>
      </c>
      <c r="V171" s="38">
        <v>-10</v>
      </c>
      <c r="W171" s="38"/>
      <c r="X171" s="106">
        <v>1</v>
      </c>
      <c r="Y171" s="106"/>
      <c r="Z171" s="106"/>
      <c r="AA171" s="106"/>
      <c r="AB171" s="106"/>
      <c r="AC171" s="106"/>
      <c r="AD171" s="38"/>
      <c r="AE171" s="38" t="s">
        <v>45</v>
      </c>
    </row>
    <row r="172" spans="1:31">
      <c r="A172" s="41" t="s">
        <v>1049</v>
      </c>
      <c r="B172" s="61" t="s">
        <v>1050</v>
      </c>
      <c r="C172" s="61" t="s">
        <v>1051</v>
      </c>
      <c r="D172" s="27" t="s">
        <v>33</v>
      </c>
      <c r="E172" s="27" t="s">
        <v>38</v>
      </c>
      <c r="G172" s="35">
        <v>7</v>
      </c>
      <c r="H172" s="38">
        <v>4</v>
      </c>
      <c r="I172" s="38">
        <v>3</v>
      </c>
      <c r="J172" s="38" t="s">
        <v>1404</v>
      </c>
      <c r="K172" s="27" t="s">
        <v>1053</v>
      </c>
      <c r="L172" s="27" t="s">
        <v>1054</v>
      </c>
      <c r="M172">
        <v>0.821</v>
      </c>
      <c r="N172">
        <v>65.4</v>
      </c>
      <c r="O172">
        <v>0.0397</v>
      </c>
      <c r="P172" t="s">
        <v>42</v>
      </c>
      <c r="Q172" t="s">
        <v>42</v>
      </c>
      <c r="R172" t="s">
        <v>42</v>
      </c>
      <c r="S172" t="s">
        <v>42</v>
      </c>
      <c r="T172" s="7">
        <v>57</v>
      </c>
      <c r="U172" s="38">
        <v>45</v>
      </c>
      <c r="V172" s="38">
        <v>12</v>
      </c>
      <c r="W172" s="38">
        <v>1</v>
      </c>
      <c r="X172" s="106"/>
      <c r="Y172" s="106">
        <v>1</v>
      </c>
      <c r="Z172" s="106"/>
      <c r="AA172" s="106"/>
      <c r="AB172" s="106"/>
      <c r="AC172" s="106"/>
      <c r="AD172" s="38"/>
      <c r="AE172" s="38" t="s">
        <v>45</v>
      </c>
    </row>
    <row r="173" spans="1:31">
      <c r="A173" s="41" t="s">
        <v>1055</v>
      </c>
      <c r="B173" s="61" t="s">
        <v>1457</v>
      </c>
      <c r="C173" s="61" t="s">
        <v>1057</v>
      </c>
      <c r="D173" s="27" t="s">
        <v>438</v>
      </c>
      <c r="E173" s="27" t="s">
        <v>783</v>
      </c>
      <c r="G173" s="35">
        <v>4</v>
      </c>
      <c r="H173" s="38">
        <v>0</v>
      </c>
      <c r="I173" s="38">
        <v>4</v>
      </c>
      <c r="J173" s="38" t="s">
        <v>1406</v>
      </c>
      <c r="K173" s="27" t="s">
        <v>1059</v>
      </c>
      <c r="L173" s="27" t="s">
        <v>1060</v>
      </c>
      <c r="M173">
        <v>0.683</v>
      </c>
      <c r="N173">
        <v>0</v>
      </c>
      <c r="O173">
        <v>0.0405</v>
      </c>
      <c r="T173" s="7">
        <v>9</v>
      </c>
      <c r="U173" s="38">
        <v>30</v>
      </c>
      <c r="V173" s="38">
        <v>-21</v>
      </c>
      <c r="W173" s="38">
        <v>1</v>
      </c>
      <c r="X173" s="106">
        <v>1</v>
      </c>
      <c r="Y173" s="106"/>
      <c r="Z173" s="106"/>
      <c r="AA173" s="106"/>
      <c r="AB173" s="106"/>
      <c r="AC173" s="106"/>
      <c r="AD173" s="38"/>
      <c r="AE173" s="38" t="s">
        <v>45</v>
      </c>
    </row>
    <row r="174" spans="1:31">
      <c r="A174" s="41" t="s">
        <v>1061</v>
      </c>
      <c r="B174" s="61" t="s">
        <v>1062</v>
      </c>
      <c r="C174" s="61" t="s">
        <v>1458</v>
      </c>
      <c r="D174" s="27" t="s">
        <v>33</v>
      </c>
      <c r="E174" s="27" t="s">
        <v>38</v>
      </c>
      <c r="G174" s="35">
        <v>3</v>
      </c>
      <c r="H174" s="38">
        <v>1</v>
      </c>
      <c r="I174" s="38">
        <v>2</v>
      </c>
      <c r="J174" s="38" t="s">
        <v>1459</v>
      </c>
      <c r="K174" s="27" t="s">
        <v>1066</v>
      </c>
      <c r="L174" s="27" t="s">
        <v>1067</v>
      </c>
      <c r="M174">
        <v>0.374</v>
      </c>
      <c r="N174">
        <v>90.6</v>
      </c>
      <c r="O174">
        <v>0.259</v>
      </c>
      <c r="P174" s="7">
        <v>2</v>
      </c>
      <c r="Q174" s="7">
        <v>23</v>
      </c>
      <c r="R174" s="7">
        <v>5</v>
      </c>
      <c r="S174" s="7">
        <v>63</v>
      </c>
      <c r="T174" t="s">
        <v>42</v>
      </c>
      <c r="U174" s="38"/>
      <c r="V174" s="38"/>
      <c r="W174" s="38">
        <v>1</v>
      </c>
      <c r="X174" s="106"/>
      <c r="Y174" s="106">
        <v>1</v>
      </c>
      <c r="Z174" s="106"/>
      <c r="AA174" s="106">
        <v>1</v>
      </c>
      <c r="AB174" s="106"/>
      <c r="AC174" s="106"/>
      <c r="AD174" s="38"/>
      <c r="AE174" s="38" t="s">
        <v>45</v>
      </c>
    </row>
    <row r="175" spans="1:31">
      <c r="B175" s="32" t="s">
        <v>1068</v>
      </c>
      <c r="C175" s="61"/>
      <c r="G175" s="112"/>
      <c r="H175" s="38"/>
      <c r="I175" s="38"/>
      <c r="J175" s="38"/>
      <c r="O175" s="38"/>
      <c r="P175" s="27"/>
      <c r="Q175" s="27"/>
      <c r="R175" s="27"/>
      <c r="S175" s="27"/>
      <c r="T175" s="27"/>
      <c r="U175" s="38"/>
      <c r="V175" s="38"/>
      <c r="W175" s="38"/>
      <c r="X175" s="106"/>
      <c r="Y175" s="106"/>
      <c r="Z175" s="106"/>
      <c r="AA175" s="106"/>
      <c r="AB175" s="106"/>
      <c r="AC175" s="106"/>
      <c r="AD175" s="38"/>
      <c r="AE175" s="38"/>
    </row>
    <row r="176" spans="1:31">
      <c r="A176" s="33" t="s">
        <v>1069</v>
      </c>
      <c r="B176" s="61" t="s">
        <v>1460</v>
      </c>
      <c r="C176" s="61" t="s">
        <v>1071</v>
      </c>
      <c r="D176" s="27" t="s">
        <v>438</v>
      </c>
      <c r="E176" s="27" t="s">
        <v>442</v>
      </c>
      <c r="F176" s="27" t="s">
        <v>67</v>
      </c>
      <c r="G176" s="35">
        <v>6</v>
      </c>
      <c r="H176" s="38">
        <v>6</v>
      </c>
      <c r="I176" s="38">
        <v>0</v>
      </c>
      <c r="J176" s="38" t="s">
        <v>1443</v>
      </c>
      <c r="K176" s="27" t="s">
        <v>1073</v>
      </c>
      <c r="L176" s="27" t="s">
        <v>1461</v>
      </c>
      <c r="M176">
        <v>0.0985</v>
      </c>
      <c r="N176">
        <v>53.2</v>
      </c>
      <c r="O176">
        <v>0.0325</v>
      </c>
      <c r="P176" t="s">
        <v>42</v>
      </c>
      <c r="Q176" t="s">
        <v>42</v>
      </c>
      <c r="R176" t="s">
        <v>42</v>
      </c>
      <c r="S176" t="s">
        <v>42</v>
      </c>
      <c r="T176">
        <v>27</v>
      </c>
      <c r="U176" s="38">
        <v>40</v>
      </c>
      <c r="V176" s="38">
        <v>-13</v>
      </c>
      <c r="W176" s="38"/>
      <c r="X176" s="106">
        <v>1</v>
      </c>
      <c r="Y176" s="106">
        <v>1</v>
      </c>
      <c r="Z176" s="106"/>
      <c r="AA176" s="106"/>
      <c r="AB176" s="106"/>
      <c r="AC176" s="106"/>
      <c r="AD176" s="38" t="s">
        <v>1462</v>
      </c>
      <c r="AE176" s="49" t="s">
        <v>45</v>
      </c>
    </row>
    <row r="177" spans="1:31">
      <c r="A177" s="41" t="s">
        <v>1074</v>
      </c>
      <c r="B177" s="61" t="s">
        <v>1463</v>
      </c>
      <c r="C177" s="61" t="s">
        <v>1076</v>
      </c>
      <c r="D177" s="27" t="s">
        <v>33</v>
      </c>
      <c r="E177" s="27" t="s">
        <v>38</v>
      </c>
      <c r="G177" s="55">
        <v>19</v>
      </c>
      <c r="H177" s="38">
        <v>8</v>
      </c>
      <c r="I177" s="38">
        <v>11</v>
      </c>
      <c r="J177" s="38" t="s">
        <v>1404</v>
      </c>
      <c r="K177" s="27" t="s">
        <v>1080</v>
      </c>
      <c r="L177" s="27" t="s">
        <v>1081</v>
      </c>
      <c r="M177">
        <v>0.145</v>
      </c>
      <c r="N177">
        <v>84.4</v>
      </c>
      <c r="O177">
        <v>0.00499</v>
      </c>
      <c r="P177" t="s">
        <v>42</v>
      </c>
      <c r="Q177" t="s">
        <v>42</v>
      </c>
      <c r="R177" t="s">
        <v>42</v>
      </c>
      <c r="S177" t="s">
        <v>42</v>
      </c>
      <c r="T177">
        <v>485</v>
      </c>
      <c r="U177" s="38"/>
      <c r="V177" s="38"/>
      <c r="W177" s="38">
        <v>1</v>
      </c>
      <c r="X177" s="106"/>
      <c r="Y177" s="106">
        <v>1</v>
      </c>
      <c r="Z177" s="106"/>
      <c r="AA177" s="106"/>
      <c r="AB177" s="106"/>
      <c r="AC177" s="106"/>
      <c r="AD177" s="38"/>
      <c r="AE177" s="38" t="s">
        <v>45</v>
      </c>
    </row>
    <row r="178" spans="1:31">
      <c r="A178" s="41" t="s">
        <v>1082</v>
      </c>
      <c r="B178" s="61" t="s">
        <v>1463</v>
      </c>
      <c r="C178" s="61" t="s">
        <v>1076</v>
      </c>
      <c r="D178" s="34" t="s">
        <v>568</v>
      </c>
      <c r="E178" s="34" t="s">
        <v>571</v>
      </c>
      <c r="G178" s="35">
        <v>4</v>
      </c>
      <c r="H178" s="38">
        <v>2</v>
      </c>
      <c r="I178" s="38">
        <v>2</v>
      </c>
      <c r="J178" s="38" t="s">
        <v>1404</v>
      </c>
      <c r="K178" s="27" t="s">
        <v>1084</v>
      </c>
      <c r="L178" s="27" t="s">
        <v>1085</v>
      </c>
      <c r="M178">
        <v>0.0171</v>
      </c>
      <c r="N178">
        <v>41.5</v>
      </c>
      <c r="O178">
        <v>0.398</v>
      </c>
      <c r="P178">
        <v>46</v>
      </c>
      <c r="Q178">
        <v>14</v>
      </c>
      <c r="R178">
        <v>102</v>
      </c>
      <c r="S178">
        <v>19</v>
      </c>
      <c r="T178" t="s">
        <v>42</v>
      </c>
      <c r="U178" s="38"/>
      <c r="V178" s="38"/>
      <c r="W178" s="38">
        <v>1</v>
      </c>
      <c r="X178" s="106">
        <v>1</v>
      </c>
      <c r="Y178" s="106"/>
      <c r="Z178" s="106"/>
      <c r="AA178" s="106">
        <v>1</v>
      </c>
      <c r="AB178" s="106"/>
      <c r="AC178" s="106"/>
      <c r="AD178" s="38"/>
      <c r="AE178" s="38" t="s">
        <v>45</v>
      </c>
    </row>
    <row r="179" spans="1:31">
      <c r="A179" s="41" t="s">
        <v>1086</v>
      </c>
      <c r="B179" s="61" t="s">
        <v>1464</v>
      </c>
      <c r="C179" s="61" t="s">
        <v>1088</v>
      </c>
      <c r="D179" s="27" t="s">
        <v>438</v>
      </c>
      <c r="E179" s="27" t="s">
        <v>442</v>
      </c>
      <c r="G179" s="35">
        <v>10</v>
      </c>
      <c r="H179" s="38">
        <v>10</v>
      </c>
      <c r="I179" s="38">
        <v>0</v>
      </c>
      <c r="J179" s="38" t="s">
        <v>1443</v>
      </c>
      <c r="K179" s="27" t="s">
        <v>1091</v>
      </c>
      <c r="L179" s="27" t="s">
        <v>1092</v>
      </c>
      <c r="M179">
        <v>0.000351</v>
      </c>
      <c r="N179">
        <v>2.5</v>
      </c>
      <c r="O179">
        <v>0.000152</v>
      </c>
      <c r="P179" t="s">
        <v>42</v>
      </c>
      <c r="Q179" t="s">
        <v>42</v>
      </c>
      <c r="R179" t="s">
        <v>42</v>
      </c>
      <c r="S179" t="s">
        <v>42</v>
      </c>
      <c r="T179">
        <v>139</v>
      </c>
      <c r="U179" s="38"/>
      <c r="V179" s="38"/>
      <c r="W179" s="38"/>
      <c r="X179" s="106">
        <v>1</v>
      </c>
      <c r="Y179" s="106"/>
      <c r="Z179" s="106"/>
      <c r="AA179" s="106"/>
      <c r="AB179" s="106"/>
      <c r="AC179" s="106"/>
      <c r="AD179" s="38"/>
      <c r="AE179" s="38" t="s">
        <v>45</v>
      </c>
    </row>
    <row r="180" spans="1:31">
      <c r="A180" s="41" t="s">
        <v>1093</v>
      </c>
      <c r="B180" s="61" t="s">
        <v>1094</v>
      </c>
      <c r="C180" s="61" t="s">
        <v>1095</v>
      </c>
      <c r="D180" s="27" t="s">
        <v>438</v>
      </c>
      <c r="E180" s="27" t="s">
        <v>1098</v>
      </c>
      <c r="G180" s="35">
        <v>9</v>
      </c>
      <c r="H180" s="38">
        <v>3</v>
      </c>
      <c r="I180" s="38">
        <v>6</v>
      </c>
      <c r="J180" s="38" t="s">
        <v>1465</v>
      </c>
      <c r="K180" s="27" t="s">
        <v>1099</v>
      </c>
      <c r="L180" s="27" t="s">
        <v>1100</v>
      </c>
      <c r="M180">
        <v>0.241</v>
      </c>
      <c r="N180">
        <v>46.1</v>
      </c>
      <c r="O180" s="123" t="s">
        <v>1097</v>
      </c>
      <c r="P180" t="s">
        <v>42</v>
      </c>
      <c r="Q180" t="s">
        <v>42</v>
      </c>
      <c r="R180" t="s">
        <v>42</v>
      </c>
      <c r="S180" t="s">
        <v>42</v>
      </c>
      <c r="T180">
        <v>195</v>
      </c>
      <c r="U180" s="38">
        <v>55</v>
      </c>
      <c r="V180" s="38">
        <v>140</v>
      </c>
      <c r="W180" s="38"/>
      <c r="X180" s="106"/>
      <c r="Y180" s="106"/>
      <c r="Z180" s="106"/>
      <c r="AA180" s="106"/>
      <c r="AB180" s="106"/>
      <c r="AC180" s="106"/>
      <c r="AD180" s="38"/>
      <c r="AE180" s="38" t="s">
        <v>62</v>
      </c>
    </row>
    <row r="181" spans="1:31">
      <c r="A181" s="27" t="s">
        <v>1101</v>
      </c>
      <c r="B181" s="61" t="s">
        <v>1109</v>
      </c>
      <c r="C181" s="107" t="s">
        <v>1103</v>
      </c>
      <c r="D181" s="27" t="s">
        <v>33</v>
      </c>
      <c r="E181" s="27" t="s">
        <v>38</v>
      </c>
      <c r="F181" s="27" t="s">
        <v>1104</v>
      </c>
      <c r="G181" s="35">
        <v>16</v>
      </c>
      <c r="H181" s="38" t="s">
        <v>43</v>
      </c>
      <c r="I181" s="38" t="s">
        <v>43</v>
      </c>
      <c r="J181" s="38" t="s">
        <v>1443</v>
      </c>
      <c r="K181" s="27" t="s">
        <v>1106</v>
      </c>
      <c r="L181" s="27" t="s">
        <v>1107</v>
      </c>
      <c r="M181" s="27" t="s">
        <v>43</v>
      </c>
      <c r="N181" s="27" t="s">
        <v>43</v>
      </c>
      <c r="O181" s="38"/>
      <c r="P181" s="27"/>
      <c r="Q181" s="27"/>
      <c r="R181" s="27"/>
      <c r="S181" s="27"/>
      <c r="T181" s="27"/>
      <c r="U181" s="38"/>
      <c r="V181" s="38"/>
      <c r="W181" s="38"/>
      <c r="X181" s="38"/>
      <c r="Y181" s="38"/>
      <c r="Z181" s="38"/>
      <c r="AA181" s="38"/>
      <c r="AB181" s="38"/>
      <c r="AC181" s="38"/>
      <c r="AD181" s="38" t="s">
        <v>1403</v>
      </c>
      <c r="AE181" s="38"/>
    </row>
    <row r="182" spans="1:31">
      <c r="A182" s="33" t="s">
        <v>1108</v>
      </c>
      <c r="B182" s="61" t="s">
        <v>1109</v>
      </c>
      <c r="C182" s="61" t="s">
        <v>1110</v>
      </c>
      <c r="D182" s="27" t="s">
        <v>33</v>
      </c>
      <c r="E182" s="27" t="s">
        <v>38</v>
      </c>
      <c r="F182" s="27" t="s">
        <v>67</v>
      </c>
      <c r="G182" s="35">
        <v>50</v>
      </c>
      <c r="H182" s="38">
        <v>31</v>
      </c>
      <c r="I182" s="38">
        <v>19</v>
      </c>
      <c r="J182" s="38" t="s">
        <v>1443</v>
      </c>
      <c r="K182" s="27" t="s">
        <v>1114</v>
      </c>
      <c r="L182" s="27" t="s">
        <v>1115</v>
      </c>
      <c r="M182">
        <v>0.00573</v>
      </c>
      <c r="N182">
        <v>78.6</v>
      </c>
      <c r="O182" s="123" t="s">
        <v>1113</v>
      </c>
      <c r="P182" t="s">
        <v>42</v>
      </c>
      <c r="Q182" t="s">
        <v>42</v>
      </c>
      <c r="R182" t="s">
        <v>42</v>
      </c>
      <c r="S182" t="s">
        <v>42</v>
      </c>
      <c r="T182">
        <v>8444</v>
      </c>
      <c r="U182" s="38"/>
      <c r="V182" s="38"/>
      <c r="W182" s="38"/>
      <c r="X182" s="106">
        <v>1</v>
      </c>
      <c r="Y182" s="106">
        <v>1</v>
      </c>
      <c r="Z182" s="106"/>
      <c r="AA182" s="106"/>
      <c r="AB182" s="106"/>
      <c r="AC182" s="106"/>
      <c r="AD182" s="38"/>
      <c r="AE182" s="38" t="s">
        <v>45</v>
      </c>
    </row>
    <row r="183" spans="1:31">
      <c r="A183" s="33" t="s">
        <v>1116</v>
      </c>
      <c r="B183" s="61" t="s">
        <v>1109</v>
      </c>
      <c r="C183" s="107" t="s">
        <v>32</v>
      </c>
      <c r="D183" s="27" t="s">
        <v>33</v>
      </c>
      <c r="E183" s="27" t="s">
        <v>38</v>
      </c>
      <c r="F183" s="27" t="s">
        <v>34</v>
      </c>
      <c r="G183" s="35">
        <v>9</v>
      </c>
      <c r="H183" s="38">
        <v>9</v>
      </c>
      <c r="I183" s="38">
        <v>0</v>
      </c>
      <c r="J183" s="38" t="s">
        <v>1404</v>
      </c>
      <c r="K183" s="27" t="s">
        <v>1118</v>
      </c>
      <c r="L183" s="27" t="s">
        <v>1119</v>
      </c>
      <c r="M183">
        <v>0.0621</v>
      </c>
      <c r="N183">
        <v>0</v>
      </c>
      <c r="O183">
        <v>0.0223</v>
      </c>
      <c r="P183" t="s">
        <v>42</v>
      </c>
      <c r="Q183" t="s">
        <v>42</v>
      </c>
      <c r="R183" t="s">
        <v>42</v>
      </c>
      <c r="S183" t="s">
        <v>42</v>
      </c>
      <c r="T183">
        <v>12</v>
      </c>
      <c r="U183" s="38">
        <v>55</v>
      </c>
      <c r="V183" s="38">
        <v>-43</v>
      </c>
      <c r="W183" s="38">
        <v>1</v>
      </c>
      <c r="X183" s="106">
        <v>1</v>
      </c>
      <c r="Y183" s="106"/>
      <c r="Z183" s="106"/>
      <c r="AA183" s="106"/>
      <c r="AB183" s="106"/>
      <c r="AC183" s="106"/>
      <c r="AD183" s="38"/>
      <c r="AE183" s="38" t="s">
        <v>45</v>
      </c>
    </row>
    <row r="184" spans="1:31">
      <c r="A184" s="33" t="s">
        <v>1120</v>
      </c>
      <c r="B184" s="61" t="s">
        <v>1109</v>
      </c>
      <c r="C184" s="107" t="s">
        <v>32</v>
      </c>
      <c r="D184" s="27" t="s">
        <v>33</v>
      </c>
      <c r="E184" s="27" t="s">
        <v>38</v>
      </c>
      <c r="F184" s="27" t="s">
        <v>47</v>
      </c>
      <c r="G184" s="35">
        <v>22</v>
      </c>
      <c r="H184" s="38">
        <v>22</v>
      </c>
      <c r="I184" s="38">
        <v>0</v>
      </c>
      <c r="J184" s="38" t="s">
        <v>1404</v>
      </c>
      <c r="K184" s="27" t="s">
        <v>1124</v>
      </c>
      <c r="L184" s="27" t="s">
        <v>1125</v>
      </c>
      <c r="M184">
        <v>0.621</v>
      </c>
      <c r="N184">
        <v>46.6</v>
      </c>
      <c r="O184" s="123" t="s">
        <v>1123</v>
      </c>
      <c r="P184" t="s">
        <v>42</v>
      </c>
      <c r="Q184" t="s">
        <v>42</v>
      </c>
      <c r="R184" t="s">
        <v>42</v>
      </c>
      <c r="S184" t="s">
        <v>42</v>
      </c>
      <c r="T184">
        <v>656</v>
      </c>
      <c r="U184" s="38"/>
      <c r="V184" s="38"/>
      <c r="W184" s="38">
        <v>1</v>
      </c>
      <c r="X184" s="106"/>
      <c r="Y184" s="106"/>
      <c r="Z184" s="106"/>
      <c r="AA184" s="106"/>
      <c r="AB184" s="106"/>
      <c r="AC184" s="106"/>
      <c r="AD184" s="38"/>
      <c r="AE184" s="38" t="s">
        <v>45</v>
      </c>
    </row>
    <row r="185" spans="1:31">
      <c r="A185" s="27" t="s">
        <v>1126</v>
      </c>
      <c r="B185" s="61" t="s">
        <v>1135</v>
      </c>
      <c r="C185" s="34" t="s">
        <v>1128</v>
      </c>
      <c r="D185" s="27" t="s">
        <v>33</v>
      </c>
      <c r="E185" s="27" t="s">
        <v>38</v>
      </c>
      <c r="F185" s="27" t="s">
        <v>1129</v>
      </c>
      <c r="G185" s="35">
        <v>5</v>
      </c>
      <c r="H185" s="38" t="s">
        <v>43</v>
      </c>
      <c r="I185" s="38" t="s">
        <v>43</v>
      </c>
      <c r="J185" s="38" t="s">
        <v>1443</v>
      </c>
      <c r="K185" s="27" t="s">
        <v>1132</v>
      </c>
      <c r="L185" s="27" t="s">
        <v>1133</v>
      </c>
      <c r="M185" t="s">
        <v>43</v>
      </c>
      <c r="N185" t="s">
        <v>43</v>
      </c>
      <c r="O185" s="38"/>
      <c r="P185" s="27"/>
      <c r="Q185" s="27"/>
      <c r="R185" s="27"/>
      <c r="S185" s="27"/>
      <c r="T185" s="27"/>
      <c r="U185" s="38"/>
      <c r="V185" s="38"/>
      <c r="W185" s="38"/>
      <c r="X185" s="106"/>
      <c r="Y185" s="106"/>
      <c r="Z185" s="106"/>
      <c r="AA185" s="106"/>
      <c r="AB185" s="106"/>
      <c r="AC185" s="106"/>
      <c r="AD185" s="38" t="s">
        <v>1403</v>
      </c>
      <c r="AE185" s="38"/>
    </row>
    <row r="186" spans="1:31">
      <c r="A186" s="41" t="s">
        <v>1134</v>
      </c>
      <c r="B186" s="61" t="s">
        <v>1135</v>
      </c>
      <c r="C186" s="61" t="s">
        <v>1110</v>
      </c>
      <c r="D186" s="27" t="s">
        <v>33</v>
      </c>
      <c r="E186" s="27" t="s">
        <v>38</v>
      </c>
      <c r="G186" s="35">
        <v>27</v>
      </c>
      <c r="H186" s="38">
        <v>25</v>
      </c>
      <c r="I186" s="38">
        <v>2</v>
      </c>
      <c r="J186" s="38" t="s">
        <v>1443</v>
      </c>
      <c r="K186" s="27" t="s">
        <v>1140</v>
      </c>
      <c r="L186" s="27" t="s">
        <v>1141</v>
      </c>
      <c r="M186">
        <v>0.0398</v>
      </c>
      <c r="N186">
        <v>89.3</v>
      </c>
      <c r="O186" s="123" t="s">
        <v>1139</v>
      </c>
      <c r="P186" t="s">
        <v>42</v>
      </c>
      <c r="Q186" t="s">
        <v>42</v>
      </c>
      <c r="R186" t="s">
        <v>42</v>
      </c>
      <c r="S186" t="s">
        <v>42</v>
      </c>
      <c r="T186" s="48">
        <v>3887</v>
      </c>
      <c r="U186" s="38"/>
      <c r="V186" s="38"/>
      <c r="W186" s="38"/>
      <c r="X186" s="106">
        <v>1</v>
      </c>
      <c r="Y186" s="106">
        <v>1</v>
      </c>
      <c r="Z186" s="106"/>
      <c r="AA186" s="106">
        <v>1</v>
      </c>
      <c r="AB186" s="106"/>
      <c r="AC186" s="106"/>
      <c r="AD186" s="38"/>
      <c r="AE186" s="38" t="s">
        <v>45</v>
      </c>
    </row>
    <row r="187" spans="1:31">
      <c r="B187" s="32" t="s">
        <v>1142</v>
      </c>
      <c r="C187" s="32"/>
      <c r="G187" s="105"/>
      <c r="H187" s="106"/>
      <c r="I187" s="106"/>
      <c r="J187" s="106"/>
      <c r="O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</row>
    <row r="188" spans="1:31">
      <c r="A188" s="41" t="s">
        <v>1143</v>
      </c>
      <c r="B188" s="61" t="s">
        <v>1144</v>
      </c>
      <c r="C188" s="61" t="s">
        <v>1145</v>
      </c>
      <c r="D188" s="27" t="s">
        <v>438</v>
      </c>
      <c r="E188" s="27" t="s">
        <v>442</v>
      </c>
      <c r="G188" s="35">
        <v>3</v>
      </c>
      <c r="H188" s="38">
        <v>2</v>
      </c>
      <c r="I188" s="38">
        <v>1</v>
      </c>
      <c r="J188" s="38" t="s">
        <v>1401</v>
      </c>
      <c r="K188" s="27" t="s">
        <v>1146</v>
      </c>
      <c r="L188" s="47" t="s">
        <v>1147</v>
      </c>
      <c r="M188">
        <v>0.0403</v>
      </c>
      <c r="N188">
        <v>54.1</v>
      </c>
      <c r="O188">
        <v>0.101</v>
      </c>
      <c r="P188">
        <v>0</v>
      </c>
      <c r="Q188" t="s">
        <v>159</v>
      </c>
      <c r="R188">
        <v>1</v>
      </c>
      <c r="S188">
        <v>1</v>
      </c>
      <c r="T188" t="s">
        <v>42</v>
      </c>
      <c r="U188" s="38"/>
      <c r="V188" s="38"/>
      <c r="W188" s="38"/>
      <c r="X188" s="106">
        <v>1</v>
      </c>
      <c r="Y188" s="106">
        <v>1</v>
      </c>
      <c r="Z188" s="106"/>
      <c r="AA188" s="106">
        <v>1</v>
      </c>
      <c r="AB188" s="106"/>
      <c r="AC188" s="106"/>
      <c r="AD188" s="38"/>
      <c r="AE188" s="38" t="s">
        <v>45</v>
      </c>
    </row>
    <row r="189" spans="1:31">
      <c r="A189" s="41" t="s">
        <v>1148</v>
      </c>
      <c r="B189" s="61" t="s">
        <v>1149</v>
      </c>
      <c r="C189" s="61" t="s">
        <v>1150</v>
      </c>
      <c r="D189" s="27" t="s">
        <v>548</v>
      </c>
      <c r="E189" s="34" t="s">
        <v>552</v>
      </c>
      <c r="G189" s="35">
        <v>4</v>
      </c>
      <c r="H189" s="38">
        <v>1</v>
      </c>
      <c r="I189" s="38">
        <v>3</v>
      </c>
      <c r="J189" s="38" t="s">
        <v>1404</v>
      </c>
      <c r="K189" s="27" t="s">
        <v>1151</v>
      </c>
      <c r="L189" s="47" t="s">
        <v>1152</v>
      </c>
      <c r="M189">
        <v>0.109</v>
      </c>
      <c r="N189">
        <v>15.8</v>
      </c>
      <c r="O189">
        <v>0.0728</v>
      </c>
      <c r="P189">
        <v>0</v>
      </c>
      <c r="Q189" t="s">
        <v>159</v>
      </c>
      <c r="R189">
        <v>1</v>
      </c>
      <c r="S189">
        <v>1</v>
      </c>
      <c r="T189" t="s">
        <v>42</v>
      </c>
      <c r="U189" s="38"/>
      <c r="V189" s="38"/>
      <c r="W189" s="38">
        <v>1</v>
      </c>
      <c r="X189" s="106">
        <v>1</v>
      </c>
      <c r="Y189" s="106"/>
      <c r="Z189" s="106"/>
      <c r="AA189" s="106">
        <v>1</v>
      </c>
      <c r="AB189" s="106"/>
      <c r="AC189" s="106"/>
      <c r="AD189" s="38"/>
      <c r="AE189" s="38" t="s">
        <v>45</v>
      </c>
    </row>
    <row r="190" ht="13" customHeight="1" spans="1:31">
      <c r="A190" s="41" t="s">
        <v>1153</v>
      </c>
      <c r="B190" s="61" t="s">
        <v>1154</v>
      </c>
      <c r="C190" s="61" t="s">
        <v>1150</v>
      </c>
      <c r="D190" s="27" t="s">
        <v>438</v>
      </c>
      <c r="E190" s="27" t="s">
        <v>442</v>
      </c>
      <c r="G190" s="35">
        <v>3</v>
      </c>
      <c r="H190" s="38">
        <v>1</v>
      </c>
      <c r="I190" s="38">
        <v>2</v>
      </c>
      <c r="J190" s="38" t="s">
        <v>1404</v>
      </c>
      <c r="K190" s="27" t="s">
        <v>1156</v>
      </c>
      <c r="L190" s="27" t="s">
        <v>1157</v>
      </c>
      <c r="M190">
        <v>0.0253</v>
      </c>
      <c r="N190">
        <v>0</v>
      </c>
      <c r="O190">
        <v>0.0405</v>
      </c>
      <c r="P190" t="s">
        <v>42</v>
      </c>
      <c r="Q190" t="s">
        <v>42</v>
      </c>
      <c r="R190" t="s">
        <v>42</v>
      </c>
      <c r="S190" t="s">
        <v>42</v>
      </c>
      <c r="T190">
        <v>8</v>
      </c>
      <c r="U190" s="38">
        <v>25</v>
      </c>
      <c r="V190" s="38">
        <v>-17</v>
      </c>
      <c r="W190" s="38">
        <v>1</v>
      </c>
      <c r="X190" s="106">
        <v>1</v>
      </c>
      <c r="Y190" s="106"/>
      <c r="Z190" s="106"/>
      <c r="AA190" s="106">
        <v>1</v>
      </c>
      <c r="AB190" s="106"/>
      <c r="AC190" s="106">
        <v>1</v>
      </c>
      <c r="AD190" s="38"/>
      <c r="AE190" s="38" t="s">
        <v>45</v>
      </c>
    </row>
    <row r="191" spans="1:31">
      <c r="A191" s="27" t="s">
        <v>1158</v>
      </c>
      <c r="B191" s="61" t="s">
        <v>1154</v>
      </c>
      <c r="C191" s="61" t="s">
        <v>1159</v>
      </c>
      <c r="D191" s="27" t="s">
        <v>500</v>
      </c>
      <c r="E191" s="27" t="s">
        <v>504</v>
      </c>
      <c r="G191" s="35">
        <v>11</v>
      </c>
      <c r="H191" s="38">
        <v>0</v>
      </c>
      <c r="I191" s="38">
        <v>11</v>
      </c>
      <c r="J191" s="38" t="s">
        <v>1401</v>
      </c>
      <c r="K191" s="27" t="s">
        <v>1163</v>
      </c>
      <c r="L191" s="27" t="s">
        <v>1164</v>
      </c>
      <c r="M191" s="40">
        <v>0.331</v>
      </c>
      <c r="N191" s="40">
        <v>34.2</v>
      </c>
      <c r="O191" s="40">
        <v>0.412</v>
      </c>
      <c r="P191" s="40">
        <v>82</v>
      </c>
      <c r="Q191" s="40">
        <v>167</v>
      </c>
      <c r="R191" s="40">
        <v>181</v>
      </c>
      <c r="S191" s="40">
        <v>373</v>
      </c>
      <c r="T191" s="27"/>
      <c r="U191" s="38"/>
      <c r="V191" s="38"/>
      <c r="W191" s="38"/>
      <c r="X191" s="38"/>
      <c r="Y191" s="38"/>
      <c r="Z191" s="38"/>
      <c r="AA191" s="38">
        <v>1</v>
      </c>
      <c r="AB191" s="38"/>
      <c r="AC191" s="38"/>
      <c r="AD191" s="38"/>
      <c r="AE191" s="38" t="s">
        <v>45</v>
      </c>
    </row>
    <row r="192" spans="1:31">
      <c r="A192" s="33" t="s">
        <v>1165</v>
      </c>
      <c r="B192" s="61" t="s">
        <v>1166</v>
      </c>
      <c r="C192" s="61" t="s">
        <v>1167</v>
      </c>
      <c r="D192" s="27" t="s">
        <v>438</v>
      </c>
      <c r="E192" s="27" t="s">
        <v>442</v>
      </c>
      <c r="F192" s="27" t="s">
        <v>67</v>
      </c>
      <c r="G192" s="35">
        <v>6</v>
      </c>
      <c r="H192" s="38">
        <v>3</v>
      </c>
      <c r="I192" s="38">
        <v>3</v>
      </c>
      <c r="J192" s="38" t="s">
        <v>1443</v>
      </c>
      <c r="K192" s="27" t="s">
        <v>1169</v>
      </c>
      <c r="L192" s="47" t="s">
        <v>1170</v>
      </c>
      <c r="M192">
        <v>0.669</v>
      </c>
      <c r="N192">
        <v>37.7</v>
      </c>
      <c r="O192">
        <v>0.0759</v>
      </c>
      <c r="P192" s="40">
        <v>0</v>
      </c>
      <c r="Q192" s="40" t="s">
        <v>159</v>
      </c>
      <c r="R192" s="40">
        <v>1</v>
      </c>
      <c r="S192" s="40">
        <v>7</v>
      </c>
      <c r="T192" t="s">
        <v>42</v>
      </c>
      <c r="U192" s="38"/>
      <c r="V192" s="38"/>
      <c r="W192" s="38"/>
      <c r="X192" s="106">
        <v>1</v>
      </c>
      <c r="Y192" s="106"/>
      <c r="Z192" s="106"/>
      <c r="AA192" s="106">
        <v>1</v>
      </c>
      <c r="AB192" s="106"/>
      <c r="AC192" s="106"/>
      <c r="AD192" s="38"/>
      <c r="AE192" s="38" t="s">
        <v>45</v>
      </c>
    </row>
    <row r="193" spans="1:31">
      <c r="A193" s="41" t="s">
        <v>1171</v>
      </c>
      <c r="B193" s="61" t="s">
        <v>1172</v>
      </c>
      <c r="C193" s="61" t="s">
        <v>1173</v>
      </c>
      <c r="D193" s="27" t="s">
        <v>33</v>
      </c>
      <c r="E193" s="27" t="s">
        <v>38</v>
      </c>
      <c r="G193" s="35">
        <v>4</v>
      </c>
      <c r="H193" s="38">
        <v>1</v>
      </c>
      <c r="I193" s="38">
        <v>3</v>
      </c>
      <c r="J193" s="38" t="s">
        <v>1443</v>
      </c>
      <c r="K193" s="27" t="s">
        <v>1175</v>
      </c>
      <c r="L193" s="27" t="s">
        <v>1466</v>
      </c>
      <c r="M193" s="40">
        <v>0.881</v>
      </c>
      <c r="N193" s="40">
        <v>18.4</v>
      </c>
      <c r="O193" s="40">
        <v>0.966</v>
      </c>
      <c r="P193" s="40">
        <v>16686</v>
      </c>
      <c r="Q193" s="40">
        <v>84</v>
      </c>
      <c r="R193" s="40" t="s">
        <v>159</v>
      </c>
      <c r="S193" s="40">
        <v>158</v>
      </c>
      <c r="T193" t="s">
        <v>42</v>
      </c>
      <c r="U193" s="38"/>
      <c r="V193" s="38"/>
      <c r="W193" s="38"/>
      <c r="X193" s="106"/>
      <c r="Y193" s="106"/>
      <c r="Z193" s="106"/>
      <c r="AA193" s="106">
        <v>1</v>
      </c>
      <c r="AB193" s="106"/>
      <c r="AC193" s="106"/>
      <c r="AD193" s="38"/>
      <c r="AE193" s="38" t="s">
        <v>45</v>
      </c>
    </row>
    <row r="194" spans="1:31">
      <c r="A194" s="41" t="s">
        <v>1177</v>
      </c>
      <c r="B194" s="61" t="s">
        <v>1178</v>
      </c>
      <c r="C194" s="61" t="s">
        <v>1179</v>
      </c>
      <c r="D194" s="28" t="s">
        <v>562</v>
      </c>
      <c r="E194" s="27" t="s">
        <v>565</v>
      </c>
      <c r="G194" s="35">
        <v>49</v>
      </c>
      <c r="H194" s="38">
        <v>18</v>
      </c>
      <c r="I194" s="38">
        <v>31</v>
      </c>
      <c r="J194" s="38" t="s">
        <v>1404</v>
      </c>
      <c r="K194" s="27" t="s">
        <v>1183</v>
      </c>
      <c r="L194" s="27" t="s">
        <v>1184</v>
      </c>
      <c r="M194">
        <v>0.412</v>
      </c>
      <c r="N194">
        <v>76.4</v>
      </c>
      <c r="O194" s="123" t="s">
        <v>1182</v>
      </c>
      <c r="P194" t="s">
        <v>42</v>
      </c>
      <c r="Q194" t="s">
        <v>42</v>
      </c>
      <c r="R194" t="s">
        <v>42</v>
      </c>
      <c r="S194" t="s">
        <v>42</v>
      </c>
      <c r="T194" s="7">
        <v>1837</v>
      </c>
      <c r="U194" s="38"/>
      <c r="V194" s="38"/>
      <c r="W194" s="38">
        <v>1</v>
      </c>
      <c r="X194" s="106"/>
      <c r="Y194" s="106">
        <v>1</v>
      </c>
      <c r="Z194" s="106"/>
      <c r="AA194" s="106"/>
      <c r="AB194" s="106"/>
      <c r="AC194" s="106"/>
      <c r="AD194" s="38"/>
      <c r="AE194" s="38" t="s">
        <v>45</v>
      </c>
    </row>
    <row r="195" spans="1:31">
      <c r="A195" s="41" t="s">
        <v>1185</v>
      </c>
      <c r="B195" s="61" t="s">
        <v>1467</v>
      </c>
      <c r="C195" s="61" t="s">
        <v>1187</v>
      </c>
      <c r="D195" s="28" t="s">
        <v>562</v>
      </c>
      <c r="E195" s="27" t="s">
        <v>565</v>
      </c>
      <c r="G195" s="35">
        <v>3</v>
      </c>
      <c r="H195" s="38">
        <v>0</v>
      </c>
      <c r="I195" s="38">
        <v>3</v>
      </c>
      <c r="J195" s="38" t="s">
        <v>1443</v>
      </c>
      <c r="K195" s="27" t="s">
        <v>1189</v>
      </c>
      <c r="L195" s="27" t="s">
        <v>1190</v>
      </c>
      <c r="M195">
        <v>0.804</v>
      </c>
      <c r="N195">
        <v>80.5</v>
      </c>
      <c r="O195">
        <v>0.378</v>
      </c>
      <c r="P195" s="7">
        <v>8</v>
      </c>
      <c r="Q195" s="7">
        <v>88</v>
      </c>
      <c r="R195" s="7">
        <v>19</v>
      </c>
      <c r="S195" s="7">
        <v>162</v>
      </c>
      <c r="U195" s="38"/>
      <c r="V195" s="38"/>
      <c r="W195" s="38"/>
      <c r="X195" s="106"/>
      <c r="Y195" s="106">
        <v>1</v>
      </c>
      <c r="Z195" s="106"/>
      <c r="AA195" s="106">
        <v>1</v>
      </c>
      <c r="AB195" s="106"/>
      <c r="AC195" s="106"/>
      <c r="AD195" s="38"/>
      <c r="AE195" s="38" t="s">
        <v>45</v>
      </c>
    </row>
    <row r="196" spans="1:31">
      <c r="A196" s="41" t="s">
        <v>1191</v>
      </c>
      <c r="B196" s="61" t="s">
        <v>1192</v>
      </c>
      <c r="C196" s="61" t="s">
        <v>1193</v>
      </c>
      <c r="D196" s="27" t="s">
        <v>33</v>
      </c>
      <c r="E196" s="27" t="s">
        <v>38</v>
      </c>
      <c r="G196" s="35">
        <v>12</v>
      </c>
      <c r="H196" s="38">
        <v>7</v>
      </c>
      <c r="I196" s="38">
        <v>5</v>
      </c>
      <c r="J196" s="38" t="s">
        <v>1406</v>
      </c>
      <c r="K196" s="27" t="s">
        <v>1197</v>
      </c>
      <c r="L196" s="59" t="s">
        <v>1198</v>
      </c>
      <c r="M196">
        <v>0.0846</v>
      </c>
      <c r="N196">
        <v>59</v>
      </c>
      <c r="O196" s="123" t="s">
        <v>1196</v>
      </c>
      <c r="P196" t="s">
        <v>42</v>
      </c>
      <c r="Q196" t="s">
        <v>42</v>
      </c>
      <c r="R196" t="s">
        <v>42</v>
      </c>
      <c r="S196" t="s">
        <v>42</v>
      </c>
      <c r="T196" s="7">
        <v>1055</v>
      </c>
      <c r="U196" s="38"/>
      <c r="V196" s="38"/>
      <c r="W196" s="38">
        <v>1</v>
      </c>
      <c r="X196" s="106"/>
      <c r="Y196" s="106">
        <v>1</v>
      </c>
      <c r="Z196" s="106"/>
      <c r="AA196" s="106"/>
      <c r="AB196" s="106"/>
      <c r="AC196" s="106"/>
      <c r="AD196" s="38"/>
      <c r="AE196" s="38" t="s">
        <v>45</v>
      </c>
    </row>
    <row r="197" spans="1:31">
      <c r="A197" s="41" t="s">
        <v>1199</v>
      </c>
      <c r="B197" s="61" t="s">
        <v>1192</v>
      </c>
      <c r="C197" s="61" t="s">
        <v>1200</v>
      </c>
      <c r="D197" s="27" t="s">
        <v>520</v>
      </c>
      <c r="E197" s="27" t="s">
        <v>523</v>
      </c>
      <c r="G197" s="35">
        <v>21</v>
      </c>
      <c r="H197" s="38">
        <v>3</v>
      </c>
      <c r="I197" s="38">
        <v>18</v>
      </c>
      <c r="J197" s="38" t="s">
        <v>1443</v>
      </c>
      <c r="K197" s="27" t="s">
        <v>1203</v>
      </c>
      <c r="L197" s="27" t="s">
        <v>1204</v>
      </c>
      <c r="M197">
        <v>0.17</v>
      </c>
      <c r="N197">
        <v>85.8</v>
      </c>
      <c r="O197" s="123" t="s">
        <v>1202</v>
      </c>
      <c r="P197" t="s">
        <v>42</v>
      </c>
      <c r="Q197" t="s">
        <v>42</v>
      </c>
      <c r="R197" t="s">
        <v>42</v>
      </c>
      <c r="S197" t="s">
        <v>42</v>
      </c>
      <c r="T197" s="7">
        <v>3434</v>
      </c>
      <c r="U197" s="38"/>
      <c r="V197" s="38"/>
      <c r="W197" s="38"/>
      <c r="X197" s="106"/>
      <c r="Y197" s="106">
        <v>1</v>
      </c>
      <c r="Z197" s="106"/>
      <c r="AA197" s="106"/>
      <c r="AB197" s="106"/>
      <c r="AC197" s="106"/>
      <c r="AD197" s="38"/>
      <c r="AE197" s="38" t="s">
        <v>45</v>
      </c>
    </row>
    <row r="198" spans="1:31">
      <c r="A198" s="41" t="s">
        <v>1205</v>
      </c>
      <c r="B198" s="61" t="s">
        <v>1192</v>
      </c>
      <c r="C198" s="61" t="s">
        <v>1206</v>
      </c>
      <c r="D198" s="28" t="s">
        <v>562</v>
      </c>
      <c r="E198" s="27" t="s">
        <v>565</v>
      </c>
      <c r="G198" s="55">
        <v>15</v>
      </c>
      <c r="H198" s="38">
        <v>2</v>
      </c>
      <c r="I198" s="38">
        <v>13</v>
      </c>
      <c r="J198" s="38" t="s">
        <v>1404</v>
      </c>
      <c r="K198" s="27" t="s">
        <v>1209</v>
      </c>
      <c r="L198" s="27" t="s">
        <v>1210</v>
      </c>
      <c r="M198" s="40">
        <v>0.00194</v>
      </c>
      <c r="N198" s="40">
        <v>76</v>
      </c>
      <c r="O198">
        <v>7.31e-7</v>
      </c>
      <c r="P198" t="s">
        <v>42</v>
      </c>
      <c r="Q198" t="s">
        <v>42</v>
      </c>
      <c r="R198" t="s">
        <v>42</v>
      </c>
      <c r="S198" t="s">
        <v>42</v>
      </c>
      <c r="T198" s="40">
        <v>1443</v>
      </c>
      <c r="U198" s="38"/>
      <c r="V198" s="38"/>
      <c r="W198" s="38">
        <v>1</v>
      </c>
      <c r="X198" s="106">
        <v>1</v>
      </c>
      <c r="Y198" s="106">
        <v>1</v>
      </c>
      <c r="Z198" s="106"/>
      <c r="AA198" s="106"/>
      <c r="AB198" s="106"/>
      <c r="AC198" s="106"/>
      <c r="AD198" s="38"/>
      <c r="AE198" s="38" t="s">
        <v>45</v>
      </c>
    </row>
    <row r="199" spans="1:31">
      <c r="A199" s="41" t="s">
        <v>1211</v>
      </c>
      <c r="B199" s="61" t="s">
        <v>1212</v>
      </c>
      <c r="C199" s="61" t="s">
        <v>1213</v>
      </c>
      <c r="D199" s="27" t="s">
        <v>438</v>
      </c>
      <c r="E199" s="27" t="s">
        <v>442</v>
      </c>
      <c r="G199" s="35">
        <v>8</v>
      </c>
      <c r="H199" s="38">
        <v>1</v>
      </c>
      <c r="I199" s="38">
        <v>7</v>
      </c>
      <c r="J199" s="38" t="s">
        <v>1435</v>
      </c>
      <c r="K199" s="27" t="s">
        <v>1216</v>
      </c>
      <c r="L199" s="27" t="s">
        <v>1217</v>
      </c>
      <c r="M199">
        <v>0.777</v>
      </c>
      <c r="N199">
        <v>0</v>
      </c>
      <c r="O199">
        <v>0.00289</v>
      </c>
      <c r="T199" s="7">
        <v>55</v>
      </c>
      <c r="U199" s="38">
        <v>50</v>
      </c>
      <c r="V199" s="38">
        <v>5</v>
      </c>
      <c r="W199" s="38">
        <v>1</v>
      </c>
      <c r="X199" s="106"/>
      <c r="Y199" s="106"/>
      <c r="Z199" s="106"/>
      <c r="AA199" s="106"/>
      <c r="AB199" s="106"/>
      <c r="AC199" s="106"/>
      <c r="AD199" s="38"/>
      <c r="AE199" s="38" t="s">
        <v>45</v>
      </c>
    </row>
    <row r="200" spans="1:31">
      <c r="A200" s="41" t="s">
        <v>1218</v>
      </c>
      <c r="B200" s="61" t="s">
        <v>1219</v>
      </c>
      <c r="C200" s="61" t="s">
        <v>679</v>
      </c>
      <c r="D200" s="27" t="s">
        <v>680</v>
      </c>
      <c r="E200" s="27" t="s">
        <v>684</v>
      </c>
      <c r="G200" s="35">
        <v>58</v>
      </c>
      <c r="H200" s="38">
        <v>14</v>
      </c>
      <c r="I200" s="38">
        <v>44</v>
      </c>
      <c r="J200" s="38" t="s">
        <v>1404</v>
      </c>
      <c r="K200" s="27" t="s">
        <v>1223</v>
      </c>
      <c r="L200" s="27" t="s">
        <v>1224</v>
      </c>
      <c r="M200">
        <v>0.00262</v>
      </c>
      <c r="N200">
        <v>88.8</v>
      </c>
      <c r="O200">
        <v>0.0115</v>
      </c>
      <c r="P200" t="s">
        <v>42</v>
      </c>
      <c r="Q200" t="s">
        <v>42</v>
      </c>
      <c r="R200" t="s">
        <v>42</v>
      </c>
      <c r="S200" t="s">
        <v>42</v>
      </c>
      <c r="T200">
        <v>640</v>
      </c>
      <c r="U200" s="38"/>
      <c r="V200" s="38"/>
      <c r="W200" s="38">
        <v>1</v>
      </c>
      <c r="X200" s="106">
        <v>1</v>
      </c>
      <c r="Y200" s="106">
        <v>1</v>
      </c>
      <c r="Z200" s="106"/>
      <c r="AA200" s="106"/>
      <c r="AB200" s="106"/>
      <c r="AC200" s="106"/>
      <c r="AD200" s="38"/>
      <c r="AE200" s="38" t="s">
        <v>45</v>
      </c>
    </row>
    <row r="201" spans="1:31">
      <c r="A201" s="41" t="s">
        <v>1225</v>
      </c>
      <c r="B201" s="61" t="s">
        <v>1468</v>
      </c>
      <c r="C201" s="61" t="s">
        <v>1226</v>
      </c>
      <c r="D201" s="27" t="s">
        <v>33</v>
      </c>
      <c r="E201" s="27" t="s">
        <v>38</v>
      </c>
      <c r="G201" s="35">
        <v>17</v>
      </c>
      <c r="H201" s="38">
        <v>13</v>
      </c>
      <c r="I201" s="38">
        <v>4</v>
      </c>
      <c r="J201" s="38" t="s">
        <v>1443</v>
      </c>
      <c r="K201" s="27" t="s">
        <v>1229</v>
      </c>
      <c r="L201" s="27" t="s">
        <v>1230</v>
      </c>
      <c r="M201">
        <v>0.579</v>
      </c>
      <c r="N201">
        <v>35.7</v>
      </c>
      <c r="O201">
        <v>0.0443</v>
      </c>
      <c r="P201" t="s">
        <v>42</v>
      </c>
      <c r="Q201" t="s">
        <v>42</v>
      </c>
      <c r="R201" t="s">
        <v>42</v>
      </c>
      <c r="S201" t="s">
        <v>42</v>
      </c>
      <c r="T201">
        <v>20</v>
      </c>
      <c r="U201" s="38"/>
      <c r="V201" s="38"/>
      <c r="W201" s="38"/>
      <c r="X201" s="106"/>
      <c r="Y201" s="106"/>
      <c r="Z201" s="106"/>
      <c r="AA201" s="106"/>
      <c r="AB201" s="106"/>
      <c r="AC201" s="106"/>
      <c r="AD201" s="38"/>
      <c r="AE201" s="38" t="s">
        <v>62</v>
      </c>
    </row>
    <row r="202" spans="1:31">
      <c r="A202" s="41" t="s">
        <v>1231</v>
      </c>
      <c r="B202" s="61" t="s">
        <v>1468</v>
      </c>
      <c r="C202" s="61" t="s">
        <v>1226</v>
      </c>
      <c r="D202" s="27" t="s">
        <v>55</v>
      </c>
      <c r="E202" s="27" t="s">
        <v>59</v>
      </c>
      <c r="G202" s="35">
        <v>5</v>
      </c>
      <c r="H202" s="38">
        <v>3</v>
      </c>
      <c r="I202" s="38">
        <v>2</v>
      </c>
      <c r="J202" s="38" t="s">
        <v>1443</v>
      </c>
      <c r="K202" s="27" t="s">
        <v>1233</v>
      </c>
      <c r="L202" s="27" t="s">
        <v>1234</v>
      </c>
      <c r="M202">
        <v>0.786</v>
      </c>
      <c r="N202">
        <v>73.3</v>
      </c>
      <c r="O202">
        <v>0.692</v>
      </c>
      <c r="P202">
        <v>106</v>
      </c>
      <c r="Q202">
        <v>33</v>
      </c>
      <c r="R202">
        <v>220</v>
      </c>
      <c r="S202">
        <v>57</v>
      </c>
      <c r="T202" t="s">
        <v>42</v>
      </c>
      <c r="U202" s="38"/>
      <c r="V202" s="38"/>
      <c r="W202" s="38"/>
      <c r="X202" s="106"/>
      <c r="Y202" s="106">
        <v>1</v>
      </c>
      <c r="Z202" s="106"/>
      <c r="AA202" s="106">
        <v>1</v>
      </c>
      <c r="AB202" s="106"/>
      <c r="AC202" s="106"/>
      <c r="AD202" s="38"/>
      <c r="AE202" s="38" t="s">
        <v>45</v>
      </c>
    </row>
    <row r="203" spans="1:31">
      <c r="A203" s="41" t="s">
        <v>1235</v>
      </c>
      <c r="B203" s="61" t="s">
        <v>1468</v>
      </c>
      <c r="C203" s="61" t="s">
        <v>1226</v>
      </c>
      <c r="D203" s="34" t="s">
        <v>568</v>
      </c>
      <c r="E203" s="34" t="s">
        <v>571</v>
      </c>
      <c r="G203" s="35">
        <v>6</v>
      </c>
      <c r="H203" s="38">
        <v>4</v>
      </c>
      <c r="I203" s="38">
        <v>2</v>
      </c>
      <c r="J203" s="38" t="s">
        <v>1443</v>
      </c>
      <c r="K203" s="27" t="s">
        <v>1237</v>
      </c>
      <c r="L203" s="27" t="s">
        <v>1238</v>
      </c>
      <c r="M203">
        <v>0.15</v>
      </c>
      <c r="N203">
        <v>41.8</v>
      </c>
      <c r="O203">
        <v>0.894</v>
      </c>
      <c r="P203">
        <v>2765</v>
      </c>
      <c r="Q203">
        <v>19</v>
      </c>
      <c r="R203" t="s">
        <v>159</v>
      </c>
      <c r="S203">
        <v>31</v>
      </c>
      <c r="T203" t="s">
        <v>42</v>
      </c>
      <c r="U203" s="38"/>
      <c r="V203" s="38"/>
      <c r="W203" s="38"/>
      <c r="X203" s="106"/>
      <c r="Y203" s="106"/>
      <c r="Z203" s="106"/>
      <c r="AA203" s="106">
        <v>1</v>
      </c>
      <c r="AB203" s="106"/>
      <c r="AC203" s="106"/>
      <c r="AD203" s="38"/>
      <c r="AE203" s="38" t="s">
        <v>45</v>
      </c>
    </row>
    <row r="204" spans="1:31">
      <c r="A204" s="41" t="s">
        <v>1239</v>
      </c>
      <c r="B204" s="61" t="s">
        <v>1240</v>
      </c>
      <c r="C204" s="61" t="s">
        <v>1226</v>
      </c>
      <c r="D204" s="27" t="s">
        <v>33</v>
      </c>
      <c r="E204" s="27" t="s">
        <v>38</v>
      </c>
      <c r="G204" s="35">
        <v>6</v>
      </c>
      <c r="H204" s="38">
        <v>2</v>
      </c>
      <c r="I204" s="38">
        <v>4</v>
      </c>
      <c r="J204" s="38" t="s">
        <v>1443</v>
      </c>
      <c r="K204" s="27" t="s">
        <v>1242</v>
      </c>
      <c r="L204" s="27" t="s">
        <v>1243</v>
      </c>
      <c r="M204">
        <v>0.767</v>
      </c>
      <c r="N204">
        <v>83.8</v>
      </c>
      <c r="O204">
        <v>0.828</v>
      </c>
      <c r="P204">
        <v>349</v>
      </c>
      <c r="Q204">
        <v>23</v>
      </c>
      <c r="R204">
        <v>718</v>
      </c>
      <c r="S204">
        <v>42</v>
      </c>
      <c r="T204" t="s">
        <v>42</v>
      </c>
      <c r="U204" s="38"/>
      <c r="V204" s="38"/>
      <c r="W204" s="38"/>
      <c r="X204" s="106"/>
      <c r="Y204" s="106">
        <v>1</v>
      </c>
      <c r="Z204" s="106"/>
      <c r="AA204" s="106">
        <v>1</v>
      </c>
      <c r="AB204" s="106"/>
      <c r="AC204" s="106"/>
      <c r="AD204" s="38"/>
      <c r="AE204" s="38" t="s">
        <v>45</v>
      </c>
    </row>
    <row r="205" spans="1:31">
      <c r="A205" s="41" t="s">
        <v>1244</v>
      </c>
      <c r="B205" s="61" t="s">
        <v>1240</v>
      </c>
      <c r="C205" s="61" t="s">
        <v>679</v>
      </c>
      <c r="D205" s="28" t="s">
        <v>562</v>
      </c>
      <c r="E205" s="27" t="s">
        <v>565</v>
      </c>
      <c r="G205" s="35">
        <v>6</v>
      </c>
      <c r="H205" s="38">
        <v>5</v>
      </c>
      <c r="I205" s="38">
        <v>1</v>
      </c>
      <c r="J205" s="38" t="s">
        <v>1404</v>
      </c>
      <c r="K205" s="27" t="s">
        <v>1247</v>
      </c>
      <c r="L205" s="27" t="s">
        <v>1248</v>
      </c>
      <c r="M205">
        <v>0.722</v>
      </c>
      <c r="N205">
        <v>55</v>
      </c>
      <c r="O205">
        <v>0.313</v>
      </c>
      <c r="P205">
        <v>20</v>
      </c>
      <c r="Q205">
        <v>139</v>
      </c>
      <c r="R205">
        <v>44</v>
      </c>
      <c r="S205">
        <v>252</v>
      </c>
      <c r="T205" t="s">
        <v>42</v>
      </c>
      <c r="U205" s="38"/>
      <c r="V205" s="38"/>
      <c r="W205" s="38">
        <v>1</v>
      </c>
      <c r="X205" s="106"/>
      <c r="Y205" s="106">
        <v>1</v>
      </c>
      <c r="Z205" s="106"/>
      <c r="AA205" s="106">
        <v>1</v>
      </c>
      <c r="AB205" s="106"/>
      <c r="AC205" s="106"/>
      <c r="AD205" s="38"/>
      <c r="AE205" s="38" t="s">
        <v>45</v>
      </c>
    </row>
    <row r="206" spans="1:31">
      <c r="A206" s="27" t="s">
        <v>1249</v>
      </c>
      <c r="B206" s="61" t="s">
        <v>1250</v>
      </c>
      <c r="C206" s="61" t="s">
        <v>1251</v>
      </c>
      <c r="D206" s="28" t="s">
        <v>562</v>
      </c>
      <c r="E206" s="27" t="s">
        <v>565</v>
      </c>
      <c r="G206" s="55">
        <v>10</v>
      </c>
      <c r="H206" s="38">
        <v>2</v>
      </c>
      <c r="I206" s="38">
        <v>8</v>
      </c>
      <c r="J206" s="38" t="s">
        <v>1443</v>
      </c>
      <c r="K206" s="27" t="s">
        <v>1254</v>
      </c>
      <c r="L206" s="27" t="s">
        <v>1255</v>
      </c>
      <c r="M206" s="40">
        <v>0.121</v>
      </c>
      <c r="N206" s="40">
        <v>0</v>
      </c>
      <c r="O206" s="40">
        <v>0.0128</v>
      </c>
      <c r="P206" s="27"/>
      <c r="Q206" s="27"/>
      <c r="R206" s="27"/>
      <c r="S206" s="27"/>
      <c r="T206" s="40">
        <v>18</v>
      </c>
      <c r="U206" s="38"/>
      <c r="V206" s="38"/>
      <c r="W206" s="38"/>
      <c r="X206" s="106"/>
      <c r="Y206" s="106"/>
      <c r="Z206" s="106"/>
      <c r="AA206" s="106"/>
      <c r="AB206" s="106"/>
      <c r="AC206" s="106"/>
      <c r="AD206" s="38"/>
      <c r="AE206" s="38" t="s">
        <v>45</v>
      </c>
    </row>
    <row r="207" spans="1:31">
      <c r="A207" s="41" t="s">
        <v>1256</v>
      </c>
      <c r="B207" s="61" t="s">
        <v>1257</v>
      </c>
      <c r="C207" s="61" t="s">
        <v>1258</v>
      </c>
      <c r="D207" s="28" t="s">
        <v>562</v>
      </c>
      <c r="E207" s="27" t="s">
        <v>565</v>
      </c>
      <c r="G207" s="35">
        <v>16</v>
      </c>
      <c r="H207" s="38">
        <v>0</v>
      </c>
      <c r="I207" s="38">
        <v>16</v>
      </c>
      <c r="J207" s="38" t="s">
        <v>1406</v>
      </c>
      <c r="K207" s="27" t="s">
        <v>1261</v>
      </c>
      <c r="L207" s="27" t="s">
        <v>1262</v>
      </c>
      <c r="M207">
        <v>0.0158</v>
      </c>
      <c r="N207">
        <v>79.2</v>
      </c>
      <c r="O207">
        <v>0.00123</v>
      </c>
      <c r="P207" t="s">
        <v>42</v>
      </c>
      <c r="Q207" t="s">
        <v>42</v>
      </c>
      <c r="R207" t="s">
        <v>42</v>
      </c>
      <c r="S207" t="s">
        <v>42</v>
      </c>
      <c r="T207">
        <v>284</v>
      </c>
      <c r="U207" s="38"/>
      <c r="V207" s="38"/>
      <c r="W207" s="38">
        <v>1</v>
      </c>
      <c r="X207" s="106">
        <v>1</v>
      </c>
      <c r="Y207" s="106">
        <v>1</v>
      </c>
      <c r="Z207" s="106"/>
      <c r="AA207" s="106"/>
      <c r="AB207" s="106"/>
      <c r="AC207" s="106">
        <v>1</v>
      </c>
      <c r="AD207" s="38"/>
      <c r="AE207" s="49" t="s">
        <v>45</v>
      </c>
    </row>
    <row r="208" spans="1:31">
      <c r="A208" s="41" t="s">
        <v>1263</v>
      </c>
      <c r="B208" s="61" t="s">
        <v>1264</v>
      </c>
      <c r="C208" s="61" t="s">
        <v>1258</v>
      </c>
      <c r="D208" s="28" t="s">
        <v>562</v>
      </c>
      <c r="E208" s="27" t="s">
        <v>565</v>
      </c>
      <c r="G208" s="35">
        <v>4</v>
      </c>
      <c r="H208" s="38">
        <v>0</v>
      </c>
      <c r="I208" s="38">
        <v>4</v>
      </c>
      <c r="J208" s="38" t="s">
        <v>1406</v>
      </c>
      <c r="K208" s="27" t="s">
        <v>1266</v>
      </c>
      <c r="L208" s="27" t="s">
        <v>1267</v>
      </c>
      <c r="M208">
        <v>0.0174</v>
      </c>
      <c r="N208">
        <v>52.2</v>
      </c>
      <c r="O208">
        <v>0.561</v>
      </c>
      <c r="P208">
        <v>31</v>
      </c>
      <c r="Q208">
        <v>17</v>
      </c>
      <c r="R208">
        <v>66</v>
      </c>
      <c r="S208">
        <v>27</v>
      </c>
      <c r="T208" t="s">
        <v>42</v>
      </c>
      <c r="U208" s="38"/>
      <c r="V208" s="38"/>
      <c r="W208" s="38">
        <v>1</v>
      </c>
      <c r="X208" s="106">
        <v>1</v>
      </c>
      <c r="Y208" s="106">
        <v>1</v>
      </c>
      <c r="Z208" s="106"/>
      <c r="AA208" s="106">
        <v>1</v>
      </c>
      <c r="AB208" s="106"/>
      <c r="AC208" s="106"/>
      <c r="AD208" s="38"/>
      <c r="AE208" s="38" t="s">
        <v>45</v>
      </c>
    </row>
    <row r="209" spans="1:31">
      <c r="A209" s="41" t="s">
        <v>1268</v>
      </c>
      <c r="B209" s="61" t="s">
        <v>1269</v>
      </c>
      <c r="C209" s="61" t="s">
        <v>1258</v>
      </c>
      <c r="D209" s="28" t="s">
        <v>562</v>
      </c>
      <c r="E209" s="27" t="s">
        <v>565</v>
      </c>
      <c r="G209" s="35">
        <v>12</v>
      </c>
      <c r="H209" s="38">
        <v>0</v>
      </c>
      <c r="I209" s="38">
        <v>12</v>
      </c>
      <c r="J209" s="38" t="s">
        <v>1406</v>
      </c>
      <c r="K209" s="27" t="s">
        <v>1271</v>
      </c>
      <c r="L209" s="27" t="s">
        <v>1272</v>
      </c>
      <c r="M209">
        <v>0.666</v>
      </c>
      <c r="N209">
        <v>54.2</v>
      </c>
      <c r="O209">
        <v>0.223</v>
      </c>
      <c r="P209">
        <v>11</v>
      </c>
      <c r="Q209">
        <v>5</v>
      </c>
      <c r="R209">
        <v>30</v>
      </c>
      <c r="S209">
        <v>10</v>
      </c>
      <c r="T209" t="s">
        <v>42</v>
      </c>
      <c r="U209" s="38"/>
      <c r="V209" s="38"/>
      <c r="W209" s="38">
        <v>1</v>
      </c>
      <c r="X209" s="106"/>
      <c r="Y209" s="106">
        <v>1</v>
      </c>
      <c r="Z209" s="106"/>
      <c r="AA209" s="106">
        <v>1</v>
      </c>
      <c r="AB209" s="106"/>
      <c r="AC209" s="106"/>
      <c r="AD209" s="38"/>
      <c r="AE209" s="38" t="s">
        <v>45</v>
      </c>
    </row>
    <row r="210" spans="1:31">
      <c r="A210" s="41" t="s">
        <v>1273</v>
      </c>
      <c r="B210" s="61" t="s">
        <v>1469</v>
      </c>
      <c r="C210" s="61" t="s">
        <v>1275</v>
      </c>
      <c r="D210" s="28" t="s">
        <v>438</v>
      </c>
      <c r="E210" s="27" t="s">
        <v>442</v>
      </c>
      <c r="G210" s="35">
        <v>8</v>
      </c>
      <c r="H210" s="38">
        <v>1</v>
      </c>
      <c r="I210" s="38">
        <v>7</v>
      </c>
      <c r="J210" s="38" t="s">
        <v>1401</v>
      </c>
      <c r="K210" s="27" t="s">
        <v>1278</v>
      </c>
      <c r="L210" s="27" t="s">
        <v>1279</v>
      </c>
      <c r="M210" s="40">
        <v>0.027</v>
      </c>
      <c r="N210" s="40">
        <v>82</v>
      </c>
      <c r="O210" s="40">
        <v>0.0219</v>
      </c>
      <c r="P210" t="s">
        <v>42</v>
      </c>
      <c r="Q210" t="s">
        <v>42</v>
      </c>
      <c r="R210" t="s">
        <v>42</v>
      </c>
      <c r="S210" t="s">
        <v>42</v>
      </c>
      <c r="T210" s="40">
        <v>77</v>
      </c>
      <c r="U210" s="38">
        <v>50</v>
      </c>
      <c r="V210" s="38">
        <v>27</v>
      </c>
      <c r="W210" s="38"/>
      <c r="X210" s="106">
        <v>1</v>
      </c>
      <c r="Y210" s="106">
        <v>1</v>
      </c>
      <c r="Z210" s="106"/>
      <c r="AA210" s="106">
        <v>1</v>
      </c>
      <c r="AB210" s="106"/>
      <c r="AC210" s="106">
        <v>1</v>
      </c>
      <c r="AD210" s="38"/>
      <c r="AE210" s="49" t="s">
        <v>45</v>
      </c>
    </row>
    <row r="211" spans="1:31">
      <c r="A211" s="27" t="s">
        <v>1280</v>
      </c>
      <c r="B211" s="61" t="s">
        <v>1281</v>
      </c>
      <c r="C211" s="61" t="s">
        <v>1282</v>
      </c>
      <c r="D211" s="27" t="s">
        <v>438</v>
      </c>
      <c r="E211" s="27" t="s">
        <v>442</v>
      </c>
      <c r="G211" s="55">
        <v>6</v>
      </c>
      <c r="H211" s="38">
        <v>0</v>
      </c>
      <c r="I211" s="38">
        <v>6</v>
      </c>
      <c r="J211" s="38" t="s">
        <v>1404</v>
      </c>
      <c r="K211" s="27" t="s">
        <v>1283</v>
      </c>
      <c r="L211" s="47" t="s">
        <v>1284</v>
      </c>
      <c r="M211" s="40">
        <v>0.129</v>
      </c>
      <c r="N211" s="40">
        <v>61.8</v>
      </c>
      <c r="O211" s="40">
        <v>0.0553</v>
      </c>
      <c r="P211" s="40">
        <v>0</v>
      </c>
      <c r="Q211" s="40" t="s">
        <v>159</v>
      </c>
      <c r="R211" s="40">
        <v>1</v>
      </c>
      <c r="S211" s="40">
        <v>1</v>
      </c>
      <c r="T211" s="27"/>
      <c r="U211" s="38"/>
      <c r="V211" s="38"/>
      <c r="W211" s="38">
        <v>1</v>
      </c>
      <c r="X211" s="106">
        <v>1</v>
      </c>
      <c r="Y211" s="106">
        <v>1</v>
      </c>
      <c r="Z211" s="106"/>
      <c r="AA211" s="106">
        <v>1</v>
      </c>
      <c r="AB211" s="106"/>
      <c r="AC211" s="106"/>
      <c r="AD211" s="38"/>
      <c r="AE211" s="38" t="s">
        <v>45</v>
      </c>
    </row>
    <row r="212" spans="1:31">
      <c r="A212" s="27" t="s">
        <v>1285</v>
      </c>
      <c r="B212" s="27" t="s">
        <v>1286</v>
      </c>
      <c r="C212" s="61" t="s">
        <v>1282</v>
      </c>
      <c r="D212" s="27" t="s">
        <v>438</v>
      </c>
      <c r="E212" s="27" t="s">
        <v>442</v>
      </c>
      <c r="G212" s="55">
        <v>12</v>
      </c>
      <c r="H212" s="38">
        <v>2</v>
      </c>
      <c r="I212" s="38">
        <v>10</v>
      </c>
      <c r="J212" s="38" t="s">
        <v>1401</v>
      </c>
      <c r="K212" s="27" t="s">
        <v>1289</v>
      </c>
      <c r="L212" s="27" t="s">
        <v>1290</v>
      </c>
      <c r="M212" s="40">
        <v>0.0864</v>
      </c>
      <c r="N212" s="40">
        <v>74.6</v>
      </c>
      <c r="O212" s="40">
        <v>0.00522</v>
      </c>
      <c r="P212" s="27"/>
      <c r="Q212" s="27"/>
      <c r="R212" s="27"/>
      <c r="S212" s="27"/>
      <c r="T212" s="40">
        <v>140</v>
      </c>
      <c r="U212" s="38"/>
      <c r="V212" s="38"/>
      <c r="W212" s="38"/>
      <c r="X212" s="106"/>
      <c r="Y212" s="106">
        <v>1</v>
      </c>
      <c r="Z212" s="106"/>
      <c r="AA212" s="106">
        <v>1</v>
      </c>
      <c r="AB212" s="106"/>
      <c r="AC212" s="106"/>
      <c r="AD212" s="38"/>
      <c r="AE212" s="38" t="s">
        <v>45</v>
      </c>
    </row>
    <row r="213" spans="1:31">
      <c r="A213" s="41" t="s">
        <v>1291</v>
      </c>
      <c r="B213" s="61" t="s">
        <v>1292</v>
      </c>
      <c r="C213" s="61" t="s">
        <v>1293</v>
      </c>
      <c r="D213" s="27" t="s">
        <v>33</v>
      </c>
      <c r="E213" s="27" t="s">
        <v>38</v>
      </c>
      <c r="G213" s="35">
        <v>4</v>
      </c>
      <c r="H213" s="38">
        <v>0</v>
      </c>
      <c r="I213" s="38">
        <v>4</v>
      </c>
      <c r="J213" s="38" t="s">
        <v>1404</v>
      </c>
      <c r="K213" s="27" t="s">
        <v>1295</v>
      </c>
      <c r="L213" s="27" t="s">
        <v>1296</v>
      </c>
      <c r="M213">
        <v>0.407</v>
      </c>
      <c r="N213">
        <v>0</v>
      </c>
      <c r="O213">
        <v>0.0296</v>
      </c>
      <c r="P213" t="s">
        <v>42</v>
      </c>
      <c r="Q213" t="s">
        <v>42</v>
      </c>
      <c r="R213" t="s">
        <v>42</v>
      </c>
      <c r="S213" t="s">
        <v>42</v>
      </c>
      <c r="T213">
        <v>3</v>
      </c>
      <c r="U213" s="38">
        <v>30</v>
      </c>
      <c r="V213" s="38">
        <v>-27</v>
      </c>
      <c r="W213" s="38">
        <v>1</v>
      </c>
      <c r="X213" s="106">
        <v>1</v>
      </c>
      <c r="Y213" s="106"/>
      <c r="Z213" s="106"/>
      <c r="AA213" s="106"/>
      <c r="AB213" s="106"/>
      <c r="AC213" s="106"/>
      <c r="AD213" s="38"/>
      <c r="AE213" s="49" t="s">
        <v>45</v>
      </c>
    </row>
    <row r="214" spans="1:31">
      <c r="A214" s="41" t="s">
        <v>1297</v>
      </c>
      <c r="B214" s="61" t="s">
        <v>1292</v>
      </c>
      <c r="C214" s="61" t="s">
        <v>1293</v>
      </c>
      <c r="D214" s="27" t="s">
        <v>735</v>
      </c>
      <c r="E214" s="27" t="s">
        <v>737</v>
      </c>
      <c r="F214" s="27" t="s">
        <v>1298</v>
      </c>
      <c r="G214" s="35">
        <v>3</v>
      </c>
      <c r="H214" s="38">
        <v>0</v>
      </c>
      <c r="I214" s="38">
        <v>3</v>
      </c>
      <c r="J214" s="38" t="s">
        <v>1404</v>
      </c>
      <c r="K214" s="27" t="s">
        <v>1299</v>
      </c>
      <c r="L214" s="27" t="s">
        <v>1300</v>
      </c>
      <c r="M214">
        <v>0.11</v>
      </c>
      <c r="N214">
        <v>0</v>
      </c>
      <c r="O214">
        <v>0.0324</v>
      </c>
      <c r="P214" t="s">
        <v>42</v>
      </c>
      <c r="Q214" t="s">
        <v>42</v>
      </c>
      <c r="R214" t="s">
        <v>42</v>
      </c>
      <c r="S214" t="s">
        <v>42</v>
      </c>
      <c r="T214">
        <v>0</v>
      </c>
      <c r="U214" s="38">
        <v>25</v>
      </c>
      <c r="V214" s="38">
        <v>-25</v>
      </c>
      <c r="W214" s="38">
        <v>1</v>
      </c>
      <c r="X214" s="106">
        <v>1</v>
      </c>
      <c r="Y214" s="106"/>
      <c r="Z214" s="106"/>
      <c r="AA214" s="106"/>
      <c r="AB214" s="106"/>
      <c r="AC214" s="106"/>
      <c r="AD214" s="38"/>
      <c r="AE214" s="38" t="s">
        <v>45</v>
      </c>
    </row>
    <row r="215" spans="1:31">
      <c r="A215" s="41" t="s">
        <v>1301</v>
      </c>
      <c r="B215" s="61" t="s">
        <v>1302</v>
      </c>
      <c r="C215" s="61" t="s">
        <v>1303</v>
      </c>
      <c r="D215" s="27" t="s">
        <v>33</v>
      </c>
      <c r="E215" s="27" t="s">
        <v>38</v>
      </c>
      <c r="G215" s="35">
        <v>3</v>
      </c>
      <c r="H215" s="38">
        <v>0</v>
      </c>
      <c r="I215" s="38">
        <v>3</v>
      </c>
      <c r="J215" s="38" t="s">
        <v>1443</v>
      </c>
      <c r="K215" s="27" t="s">
        <v>1305</v>
      </c>
      <c r="L215" s="27" t="s">
        <v>1306</v>
      </c>
      <c r="M215">
        <v>0.413</v>
      </c>
      <c r="N215">
        <v>0</v>
      </c>
      <c r="O215">
        <v>0.0103</v>
      </c>
      <c r="P215" t="s">
        <v>42</v>
      </c>
      <c r="Q215" t="s">
        <v>42</v>
      </c>
      <c r="R215" t="s">
        <v>42</v>
      </c>
      <c r="S215" t="s">
        <v>42</v>
      </c>
      <c r="T215">
        <v>16</v>
      </c>
      <c r="U215" s="38">
        <v>25</v>
      </c>
      <c r="V215" s="38">
        <v>-9</v>
      </c>
      <c r="W215" s="38"/>
      <c r="X215" s="106">
        <v>1</v>
      </c>
      <c r="Y215" s="106"/>
      <c r="Z215" s="106"/>
      <c r="AA215" s="106"/>
      <c r="AB215" s="106"/>
      <c r="AC215" s="106"/>
      <c r="AD215" s="38"/>
      <c r="AE215" s="38" t="s">
        <v>45</v>
      </c>
    </row>
    <row r="216" spans="1:31">
      <c r="A216" s="41" t="s">
        <v>1307</v>
      </c>
      <c r="B216" s="61" t="s">
        <v>1302</v>
      </c>
      <c r="C216" s="61" t="s">
        <v>1303</v>
      </c>
      <c r="D216" s="27" t="s">
        <v>735</v>
      </c>
      <c r="E216" s="27" t="s">
        <v>737</v>
      </c>
      <c r="G216" s="35">
        <v>3</v>
      </c>
      <c r="H216" s="38">
        <v>1</v>
      </c>
      <c r="I216" s="38">
        <v>2</v>
      </c>
      <c r="J216" s="38" t="s">
        <v>1404</v>
      </c>
      <c r="K216" s="27" t="s">
        <v>1308</v>
      </c>
      <c r="L216" s="47" t="s">
        <v>1309</v>
      </c>
      <c r="M216">
        <v>0.581</v>
      </c>
      <c r="N216">
        <v>43</v>
      </c>
      <c r="O216">
        <v>0.0713</v>
      </c>
      <c r="P216">
        <v>0</v>
      </c>
      <c r="Q216" t="s">
        <v>159</v>
      </c>
      <c r="R216">
        <v>1</v>
      </c>
      <c r="S216">
        <v>1</v>
      </c>
      <c r="T216" t="s">
        <v>42</v>
      </c>
      <c r="U216" s="38"/>
      <c r="V216" s="38"/>
      <c r="W216" s="38">
        <v>1</v>
      </c>
      <c r="X216" s="106">
        <v>1</v>
      </c>
      <c r="Y216" s="106"/>
      <c r="Z216" s="106"/>
      <c r="AA216" s="106">
        <v>1</v>
      </c>
      <c r="AB216" s="106"/>
      <c r="AC216" s="106">
        <v>1</v>
      </c>
      <c r="AD216" s="38"/>
      <c r="AE216" s="49" t="s">
        <v>45</v>
      </c>
    </row>
    <row r="217" spans="1:31">
      <c r="A217" s="41" t="s">
        <v>1310</v>
      </c>
      <c r="B217" s="61" t="s">
        <v>1302</v>
      </c>
      <c r="C217" s="61" t="s">
        <v>1303</v>
      </c>
      <c r="D217" s="27" t="s">
        <v>500</v>
      </c>
      <c r="E217" s="27" t="s">
        <v>504</v>
      </c>
      <c r="G217" s="35">
        <v>6</v>
      </c>
      <c r="H217" s="38">
        <v>0</v>
      </c>
      <c r="I217" s="38">
        <v>6</v>
      </c>
      <c r="J217" s="38" t="s">
        <v>1470</v>
      </c>
      <c r="K217" s="27" t="s">
        <v>1312</v>
      </c>
      <c r="L217" s="27" t="s">
        <v>1313</v>
      </c>
      <c r="M217">
        <v>0.281</v>
      </c>
      <c r="N217">
        <v>65.7</v>
      </c>
      <c r="O217">
        <v>0.00619</v>
      </c>
      <c r="P217" t="s">
        <v>42</v>
      </c>
      <c r="Q217" t="s">
        <v>42</v>
      </c>
      <c r="R217" t="s">
        <v>42</v>
      </c>
      <c r="S217" t="s">
        <v>42</v>
      </c>
      <c r="T217">
        <v>86</v>
      </c>
      <c r="U217" s="38">
        <v>40</v>
      </c>
      <c r="V217" s="38">
        <v>46</v>
      </c>
      <c r="W217" s="38"/>
      <c r="X217" s="106"/>
      <c r="Y217" s="20">
        <v>1</v>
      </c>
      <c r="Z217" s="106"/>
      <c r="AA217" s="106">
        <v>1</v>
      </c>
      <c r="AB217" s="106"/>
      <c r="AC217" s="106">
        <v>1</v>
      </c>
      <c r="AD217" s="38"/>
      <c r="AE217" s="38" t="s">
        <v>45</v>
      </c>
    </row>
    <row r="218" spans="1:31">
      <c r="A218" s="41" t="s">
        <v>1314</v>
      </c>
      <c r="B218" s="61" t="s">
        <v>1315</v>
      </c>
      <c r="C218" s="61" t="s">
        <v>1455</v>
      </c>
      <c r="D218" s="27" t="s">
        <v>33</v>
      </c>
      <c r="E218" s="27" t="s">
        <v>38</v>
      </c>
      <c r="G218" s="35">
        <v>3</v>
      </c>
      <c r="H218" s="38">
        <v>3</v>
      </c>
      <c r="I218" s="38">
        <v>0</v>
      </c>
      <c r="J218" s="38" t="s">
        <v>1443</v>
      </c>
      <c r="K218" s="27" t="s">
        <v>1319</v>
      </c>
      <c r="L218" s="27" t="s">
        <v>1320</v>
      </c>
      <c r="M218">
        <v>0.516</v>
      </c>
      <c r="N218">
        <v>72.4</v>
      </c>
      <c r="O218">
        <v>0.509</v>
      </c>
      <c r="P218">
        <v>13</v>
      </c>
      <c r="Q218">
        <v>15</v>
      </c>
      <c r="R218">
        <v>28</v>
      </c>
      <c r="S218">
        <v>34</v>
      </c>
      <c r="T218" t="s">
        <v>42</v>
      </c>
      <c r="U218" s="38"/>
      <c r="V218" s="38"/>
      <c r="W218" s="38"/>
      <c r="X218" s="106"/>
      <c r="Y218" s="106">
        <v>1</v>
      </c>
      <c r="Z218" s="106"/>
      <c r="AA218" s="106">
        <v>1</v>
      </c>
      <c r="AB218" s="106"/>
      <c r="AC218" s="106"/>
      <c r="AD218" s="38"/>
      <c r="AE218" s="38" t="s">
        <v>45</v>
      </c>
    </row>
    <row r="219" spans="1:31">
      <c r="A219" s="33" t="s">
        <v>1321</v>
      </c>
      <c r="B219" s="61" t="s">
        <v>1471</v>
      </c>
      <c r="C219" s="61" t="s">
        <v>1323</v>
      </c>
      <c r="D219" s="27" t="s">
        <v>33</v>
      </c>
      <c r="E219" s="27" t="s">
        <v>38</v>
      </c>
      <c r="F219" s="27" t="s">
        <v>67</v>
      </c>
      <c r="G219" s="35">
        <v>11</v>
      </c>
      <c r="H219" s="38">
        <v>4</v>
      </c>
      <c r="I219" s="38">
        <v>7</v>
      </c>
      <c r="J219" s="38" t="s">
        <v>1443</v>
      </c>
      <c r="K219" s="27" t="s">
        <v>1326</v>
      </c>
      <c r="L219" s="27" t="s">
        <v>1327</v>
      </c>
      <c r="M219">
        <v>0.026</v>
      </c>
      <c r="N219">
        <v>82</v>
      </c>
      <c r="O219" s="123" t="s">
        <v>1325</v>
      </c>
      <c r="P219" t="s">
        <v>42</v>
      </c>
      <c r="Q219" t="s">
        <v>42</v>
      </c>
      <c r="R219" t="s">
        <v>42</v>
      </c>
      <c r="S219" t="s">
        <v>42</v>
      </c>
      <c r="T219">
        <v>778</v>
      </c>
      <c r="U219" s="38"/>
      <c r="V219" s="38"/>
      <c r="W219" s="38"/>
      <c r="X219" s="106">
        <v>1</v>
      </c>
      <c r="Y219" s="106">
        <v>1</v>
      </c>
      <c r="Z219" s="106"/>
      <c r="AA219" s="106"/>
      <c r="AB219" s="106"/>
      <c r="AC219" s="106"/>
      <c r="AD219" s="38"/>
      <c r="AE219" s="38" t="s">
        <v>45</v>
      </c>
    </row>
    <row r="220" spans="1:31">
      <c r="A220" s="33" t="s">
        <v>1328</v>
      </c>
      <c r="B220" s="61" t="s">
        <v>1471</v>
      </c>
      <c r="C220" s="61" t="s">
        <v>1323</v>
      </c>
      <c r="D220" s="27" t="s">
        <v>33</v>
      </c>
      <c r="E220" s="27" t="s">
        <v>38</v>
      </c>
      <c r="F220" s="27" t="s">
        <v>1329</v>
      </c>
      <c r="G220" s="35">
        <v>5</v>
      </c>
      <c r="H220" s="38">
        <v>3</v>
      </c>
      <c r="I220" s="38">
        <v>2</v>
      </c>
      <c r="J220" s="38" t="s">
        <v>1443</v>
      </c>
      <c r="K220" s="27" t="s">
        <v>1331</v>
      </c>
      <c r="L220" s="27" t="s">
        <v>1332</v>
      </c>
      <c r="M220">
        <v>0.362</v>
      </c>
      <c r="N220">
        <v>4</v>
      </c>
      <c r="O220">
        <v>0.00513</v>
      </c>
      <c r="P220" t="s">
        <v>42</v>
      </c>
      <c r="Q220" t="s">
        <v>42</v>
      </c>
      <c r="R220" t="s">
        <v>42</v>
      </c>
      <c r="S220" t="s">
        <v>42</v>
      </c>
      <c r="T220">
        <v>40</v>
      </c>
      <c r="U220" s="38">
        <v>35</v>
      </c>
      <c r="V220" s="38">
        <v>5</v>
      </c>
      <c r="W220" s="38"/>
      <c r="X220" s="106"/>
      <c r="Y220" s="106"/>
      <c r="Z220" s="106"/>
      <c r="AA220" s="106"/>
      <c r="AB220" s="106"/>
      <c r="AC220" s="106"/>
      <c r="AD220" s="38"/>
      <c r="AE220" s="38" t="s">
        <v>62</v>
      </c>
    </row>
    <row r="221" spans="1:31">
      <c r="A221" s="33" t="s">
        <v>1333</v>
      </c>
      <c r="B221" s="61" t="s">
        <v>1471</v>
      </c>
      <c r="C221" s="61" t="s">
        <v>1323</v>
      </c>
      <c r="D221" s="27" t="s">
        <v>33</v>
      </c>
      <c r="E221" s="27" t="s">
        <v>38</v>
      </c>
      <c r="F221" s="27" t="s">
        <v>1334</v>
      </c>
      <c r="G221" s="35">
        <v>5</v>
      </c>
      <c r="H221" s="38">
        <v>3</v>
      </c>
      <c r="I221" s="38">
        <v>2</v>
      </c>
      <c r="J221" s="38" t="s">
        <v>1443</v>
      </c>
      <c r="K221" s="27" t="s">
        <v>1331</v>
      </c>
      <c r="L221" s="27" t="s">
        <v>1336</v>
      </c>
      <c r="M221">
        <v>0.698</v>
      </c>
      <c r="N221">
        <v>94.2</v>
      </c>
      <c r="O221">
        <v>0.0451</v>
      </c>
      <c r="P221" t="s">
        <v>42</v>
      </c>
      <c r="Q221" t="s">
        <v>42</v>
      </c>
      <c r="R221" t="s">
        <v>42</v>
      </c>
      <c r="S221" t="s">
        <v>42</v>
      </c>
      <c r="T221">
        <v>214</v>
      </c>
      <c r="U221" s="38">
        <v>35</v>
      </c>
      <c r="V221" s="38">
        <v>179</v>
      </c>
      <c r="W221" s="38"/>
      <c r="X221" s="106"/>
      <c r="Y221" s="106">
        <v>1</v>
      </c>
      <c r="Z221" s="106"/>
      <c r="AA221" s="106">
        <v>1</v>
      </c>
      <c r="AB221" s="106"/>
      <c r="AC221" s="106"/>
      <c r="AD221" s="38"/>
      <c r="AE221" s="38" t="s">
        <v>45</v>
      </c>
    </row>
    <row r="222" spans="1:31">
      <c r="A222" s="41" t="s">
        <v>1337</v>
      </c>
      <c r="B222" s="61" t="s">
        <v>1472</v>
      </c>
      <c r="C222" s="61" t="s">
        <v>1339</v>
      </c>
      <c r="D222" s="27" t="s">
        <v>33</v>
      </c>
      <c r="E222" s="27" t="s">
        <v>38</v>
      </c>
      <c r="G222" s="35">
        <v>25</v>
      </c>
      <c r="H222" s="38">
        <v>8</v>
      </c>
      <c r="I222" s="38">
        <v>17</v>
      </c>
      <c r="J222" s="38" t="s">
        <v>1404</v>
      </c>
      <c r="K222" s="27" t="s">
        <v>1343</v>
      </c>
      <c r="L222" s="27" t="s">
        <v>1344</v>
      </c>
      <c r="M222">
        <v>0.703</v>
      </c>
      <c r="N222">
        <v>86.9</v>
      </c>
      <c r="O222" s="123" t="s">
        <v>1342</v>
      </c>
      <c r="P222" t="s">
        <v>42</v>
      </c>
      <c r="Q222" t="s">
        <v>42</v>
      </c>
      <c r="R222" t="s">
        <v>42</v>
      </c>
      <c r="S222" t="s">
        <v>42</v>
      </c>
      <c r="T222">
        <v>4740</v>
      </c>
      <c r="U222" s="38"/>
      <c r="V222" s="38"/>
      <c r="W222" s="38">
        <v>1</v>
      </c>
      <c r="X222" s="106"/>
      <c r="Y222" s="106">
        <v>1</v>
      </c>
      <c r="Z222" s="106"/>
      <c r="AA222" s="106"/>
      <c r="AB222" s="106"/>
      <c r="AC222" s="106"/>
      <c r="AD222" s="38"/>
      <c r="AE222" s="38" t="s">
        <v>45</v>
      </c>
    </row>
    <row r="223" spans="1:31">
      <c r="A223" s="41" t="s">
        <v>1345</v>
      </c>
      <c r="B223" s="61" t="s">
        <v>1473</v>
      </c>
      <c r="C223" s="61" t="s">
        <v>1347</v>
      </c>
      <c r="D223" s="34" t="s">
        <v>568</v>
      </c>
      <c r="E223" s="34" t="s">
        <v>571</v>
      </c>
      <c r="G223" s="35">
        <v>10</v>
      </c>
      <c r="H223" s="38">
        <v>4</v>
      </c>
      <c r="I223" s="38">
        <v>6</v>
      </c>
      <c r="J223" s="38" t="s">
        <v>1443</v>
      </c>
      <c r="K223" s="27" t="s">
        <v>1351</v>
      </c>
      <c r="L223" s="27" t="s">
        <v>1352</v>
      </c>
      <c r="M223">
        <v>0.461</v>
      </c>
      <c r="N223">
        <v>20.9</v>
      </c>
      <c r="O223" s="123" t="s">
        <v>1350</v>
      </c>
      <c r="P223" t="s">
        <v>42</v>
      </c>
      <c r="Q223" t="s">
        <v>42</v>
      </c>
      <c r="R223" t="s">
        <v>42</v>
      </c>
      <c r="S223" t="s">
        <v>42</v>
      </c>
      <c r="T223">
        <v>936</v>
      </c>
      <c r="U223" s="38"/>
      <c r="V223" s="38"/>
      <c r="W223" s="38"/>
      <c r="X223" s="106"/>
      <c r="Y223" s="106"/>
      <c r="Z223" s="106"/>
      <c r="AA223" s="106"/>
      <c r="AB223" s="106"/>
      <c r="AC223" s="106"/>
      <c r="AD223" s="38"/>
      <c r="AE223" s="38" t="s">
        <v>62</v>
      </c>
    </row>
    <row r="224" spans="1:31">
      <c r="A224" s="33" t="s">
        <v>1353</v>
      </c>
      <c r="B224" s="61" t="s">
        <v>1474</v>
      </c>
      <c r="C224" s="61" t="s">
        <v>1355</v>
      </c>
      <c r="D224" s="27" t="s">
        <v>568</v>
      </c>
      <c r="E224" s="27" t="s">
        <v>571</v>
      </c>
      <c r="F224" s="27" t="s">
        <v>67</v>
      </c>
      <c r="G224" s="35">
        <v>17</v>
      </c>
      <c r="H224" s="38">
        <v>1</v>
      </c>
      <c r="I224" s="38">
        <v>16</v>
      </c>
      <c r="J224" s="38" t="s">
        <v>1443</v>
      </c>
      <c r="K224" s="27" t="s">
        <v>1359</v>
      </c>
      <c r="L224" s="27" t="s">
        <v>1360</v>
      </c>
      <c r="M224">
        <v>0.035</v>
      </c>
      <c r="N224">
        <v>69.8</v>
      </c>
      <c r="O224" s="123" t="s">
        <v>1358</v>
      </c>
      <c r="P224" t="s">
        <v>42</v>
      </c>
      <c r="Q224" t="s">
        <v>42</v>
      </c>
      <c r="R224" t="s">
        <v>42</v>
      </c>
      <c r="S224" t="s">
        <v>42</v>
      </c>
      <c r="T224">
        <v>442</v>
      </c>
      <c r="U224" s="38"/>
      <c r="V224" s="38"/>
      <c r="W224" s="38"/>
      <c r="X224" s="106">
        <v>1</v>
      </c>
      <c r="Y224" s="106">
        <v>1</v>
      </c>
      <c r="Z224" s="106"/>
      <c r="AA224" s="106"/>
      <c r="AB224" s="106"/>
      <c r="AC224" s="106"/>
      <c r="AD224" s="38" t="s">
        <v>1403</v>
      </c>
      <c r="AE224" s="49" t="s">
        <v>45</v>
      </c>
    </row>
    <row r="225" spans="1:31">
      <c r="A225" s="41" t="s">
        <v>1361</v>
      </c>
      <c r="B225" s="61" t="s">
        <v>1475</v>
      </c>
      <c r="C225" s="61" t="s">
        <v>486</v>
      </c>
      <c r="D225" s="27" t="s">
        <v>438</v>
      </c>
      <c r="E225" s="27" t="s">
        <v>442</v>
      </c>
      <c r="G225" s="35">
        <v>11</v>
      </c>
      <c r="H225" s="38">
        <v>1</v>
      </c>
      <c r="I225" s="38">
        <v>10</v>
      </c>
      <c r="J225" s="38" t="s">
        <v>1404</v>
      </c>
      <c r="K225" s="27" t="s">
        <v>1365</v>
      </c>
      <c r="L225" s="27" t="s">
        <v>1366</v>
      </c>
      <c r="M225">
        <v>0.0627</v>
      </c>
      <c r="N225">
        <v>75.5</v>
      </c>
      <c r="O225">
        <v>0.00347</v>
      </c>
      <c r="P225" t="s">
        <v>42</v>
      </c>
      <c r="Q225" t="s">
        <v>42</v>
      </c>
      <c r="R225" t="s">
        <v>42</v>
      </c>
      <c r="S225" t="s">
        <v>42</v>
      </c>
      <c r="T225">
        <v>162</v>
      </c>
      <c r="U225" s="38"/>
      <c r="V225" s="38"/>
      <c r="W225" s="38">
        <v>1</v>
      </c>
      <c r="X225" s="106"/>
      <c r="Y225" s="106">
        <v>1</v>
      </c>
      <c r="Z225" s="106"/>
      <c r="AA225" s="106"/>
      <c r="AB225" s="106"/>
      <c r="AC225" s="106"/>
      <c r="AD225" s="38"/>
      <c r="AE225" s="38" t="s">
        <v>45</v>
      </c>
    </row>
    <row r="226" spans="1:31">
      <c r="A226" s="41" t="s">
        <v>1367</v>
      </c>
      <c r="B226" s="61" t="s">
        <v>1368</v>
      </c>
      <c r="C226" s="61" t="s">
        <v>1369</v>
      </c>
      <c r="D226" s="27" t="s">
        <v>33</v>
      </c>
      <c r="E226" s="27" t="s">
        <v>38</v>
      </c>
      <c r="G226" s="35">
        <v>8</v>
      </c>
      <c r="H226" s="38">
        <v>8</v>
      </c>
      <c r="I226" s="38">
        <v>0</v>
      </c>
      <c r="J226" s="38" t="s">
        <v>1443</v>
      </c>
      <c r="K226" s="27">
        <v>58671</v>
      </c>
      <c r="L226" s="122" t="s">
        <v>1372</v>
      </c>
      <c r="M226">
        <v>0.263</v>
      </c>
      <c r="N226">
        <v>75.5</v>
      </c>
      <c r="O226">
        <v>0.00372</v>
      </c>
      <c r="P226" t="s">
        <v>42</v>
      </c>
      <c r="Q226" t="s">
        <v>42</v>
      </c>
      <c r="R226" t="s">
        <v>42</v>
      </c>
      <c r="S226" t="s">
        <v>42</v>
      </c>
      <c r="T226">
        <v>107</v>
      </c>
      <c r="U226" s="38">
        <v>50</v>
      </c>
      <c r="V226" s="38">
        <v>57</v>
      </c>
      <c r="W226" s="38"/>
      <c r="X226" s="106"/>
      <c r="Y226" s="106">
        <v>1</v>
      </c>
      <c r="Z226" s="106"/>
      <c r="AA226" s="106"/>
      <c r="AB226" s="106"/>
      <c r="AC226" s="106"/>
      <c r="AD226" s="38"/>
      <c r="AE226" s="38" t="s">
        <v>45</v>
      </c>
    </row>
    <row r="227" spans="1:31">
      <c r="A227" s="41" t="s">
        <v>1373</v>
      </c>
      <c r="B227" s="61" t="s">
        <v>1374</v>
      </c>
      <c r="C227" s="61" t="s">
        <v>1375</v>
      </c>
      <c r="D227" s="27" t="s">
        <v>438</v>
      </c>
      <c r="E227" s="27" t="s">
        <v>442</v>
      </c>
      <c r="G227" s="35">
        <v>6</v>
      </c>
      <c r="H227" s="38">
        <v>0</v>
      </c>
      <c r="I227" s="38">
        <v>6</v>
      </c>
      <c r="J227" s="38" t="s">
        <v>1443</v>
      </c>
      <c r="K227" s="27" t="s">
        <v>1377</v>
      </c>
      <c r="L227" s="27" t="s">
        <v>1378</v>
      </c>
      <c r="M227">
        <v>0.359</v>
      </c>
      <c r="N227">
        <v>75.3</v>
      </c>
      <c r="O227">
        <v>0.0167</v>
      </c>
      <c r="P227" t="s">
        <v>42</v>
      </c>
      <c r="Q227" t="s">
        <v>42</v>
      </c>
      <c r="R227" t="s">
        <v>42</v>
      </c>
      <c r="S227" t="s">
        <v>42</v>
      </c>
      <c r="T227">
        <v>72</v>
      </c>
      <c r="U227" s="38">
        <v>40</v>
      </c>
      <c r="V227" s="38">
        <v>32</v>
      </c>
      <c r="W227" s="38"/>
      <c r="X227" s="106"/>
      <c r="Y227" s="106">
        <v>1</v>
      </c>
      <c r="Z227" s="106"/>
      <c r="AA227" s="106"/>
      <c r="AB227" s="106"/>
      <c r="AC227" s="106"/>
      <c r="AD227" s="38"/>
      <c r="AE227" s="38" t="s">
        <v>45</v>
      </c>
    </row>
    <row r="228" spans="1:31">
      <c r="A228" s="41" t="s">
        <v>1379</v>
      </c>
      <c r="B228" s="61" t="s">
        <v>1380</v>
      </c>
      <c r="C228" s="61" t="s">
        <v>1381</v>
      </c>
      <c r="D228" s="27" t="s">
        <v>520</v>
      </c>
      <c r="E228" s="27" t="s">
        <v>523</v>
      </c>
      <c r="G228" s="35">
        <v>5</v>
      </c>
      <c r="H228" s="38">
        <v>5</v>
      </c>
      <c r="I228" s="38">
        <v>0</v>
      </c>
      <c r="J228" s="38" t="s">
        <v>1443</v>
      </c>
      <c r="K228" s="27" t="s">
        <v>1383</v>
      </c>
      <c r="L228" s="27" t="s">
        <v>1384</v>
      </c>
      <c r="M228">
        <v>0.509</v>
      </c>
      <c r="N228">
        <v>59.7</v>
      </c>
      <c r="O228">
        <v>0.979</v>
      </c>
      <c r="P228">
        <v>39289</v>
      </c>
      <c r="Q228">
        <v>33</v>
      </c>
      <c r="R228" t="s">
        <v>159</v>
      </c>
      <c r="S228">
        <v>60</v>
      </c>
      <c r="T228" t="s">
        <v>42</v>
      </c>
      <c r="U228" s="38"/>
      <c r="V228" s="38"/>
      <c r="W228" s="38"/>
      <c r="X228" s="106"/>
      <c r="Y228" s="106">
        <v>1</v>
      </c>
      <c r="Z228" s="106"/>
      <c r="AA228" s="106">
        <v>1</v>
      </c>
      <c r="AB228" s="106"/>
      <c r="AC228" s="106"/>
      <c r="AD228" s="38"/>
      <c r="AE228" s="38" t="s">
        <v>45</v>
      </c>
    </row>
  </sheetData>
  <autoFilter xmlns:etc="http://www.wps.cn/officeDocument/2017/etCustomData" ref="B1:AE228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1"/>
  <sheetViews>
    <sheetView zoomScale="70" zoomScaleNormal="70" workbookViewId="0">
      <selection activeCell="E10" sqref="E10"/>
    </sheetView>
  </sheetViews>
  <sheetFormatPr defaultColWidth="8.69090909090909" defaultRowHeight="14"/>
  <cols>
    <col min="1" max="1" width="25.0727272727273" customWidth="1"/>
    <col min="2" max="2" width="27.2272727272727" customWidth="1"/>
    <col min="4" max="4" width="8.69090909090909" style="98"/>
    <col min="6" max="6" width="8.69090909090909" style="98"/>
    <col min="9" max="9" width="8.69090909090909" style="21"/>
    <col min="11" max="11" width="8.69090909090909" style="98"/>
    <col min="13" max="13" width="8.69090909090909" style="98"/>
    <col min="15" max="15" width="8.69090909090909" style="98"/>
    <col min="17" max="17" width="8.69090909090909" style="98"/>
    <col min="19" max="19" width="14.5363636363636" customWidth="1"/>
  </cols>
  <sheetData>
    <row r="1" spans="1:19">
      <c r="A1" s="26" t="s">
        <v>1476</v>
      </c>
      <c r="B1" s="26" t="s">
        <v>1</v>
      </c>
      <c r="C1" s="26" t="s">
        <v>1477</v>
      </c>
      <c r="D1" s="99" t="s">
        <v>1478</v>
      </c>
      <c r="E1" s="26" t="s">
        <v>1479</v>
      </c>
      <c r="F1" s="99" t="s">
        <v>1480</v>
      </c>
      <c r="G1" s="26" t="s">
        <v>1481</v>
      </c>
      <c r="H1" s="26" t="s">
        <v>1482</v>
      </c>
      <c r="I1" s="100" t="s">
        <v>1483</v>
      </c>
      <c r="J1" s="26" t="s">
        <v>1484</v>
      </c>
      <c r="K1" s="99" t="s">
        <v>1485</v>
      </c>
      <c r="L1" s="26" t="s">
        <v>1486</v>
      </c>
      <c r="M1" s="99" t="s">
        <v>1487</v>
      </c>
      <c r="N1" s="26" t="s">
        <v>1488</v>
      </c>
      <c r="O1" s="99" t="s">
        <v>1489</v>
      </c>
      <c r="P1" s="26" t="s">
        <v>1490</v>
      </c>
      <c r="Q1" s="99" t="s">
        <v>1491</v>
      </c>
      <c r="R1" s="26" t="s">
        <v>1492</v>
      </c>
      <c r="S1" s="26" t="s">
        <v>28</v>
      </c>
    </row>
    <row r="2" spans="1:19">
      <c r="A2" s="27" t="s">
        <v>54</v>
      </c>
      <c r="B2" s="27" t="s">
        <v>31</v>
      </c>
      <c r="C2" s="27">
        <v>2</v>
      </c>
      <c r="D2" s="101">
        <v>1</v>
      </c>
      <c r="E2" s="27">
        <v>2</v>
      </c>
      <c r="F2" s="101">
        <v>2</v>
      </c>
      <c r="G2" s="27">
        <v>2</v>
      </c>
      <c r="H2" s="27">
        <v>2</v>
      </c>
      <c r="I2" s="102">
        <v>1</v>
      </c>
      <c r="J2" s="27">
        <v>2</v>
      </c>
      <c r="K2" s="101">
        <v>2</v>
      </c>
      <c r="L2" s="27">
        <v>1</v>
      </c>
      <c r="M2" s="101">
        <v>2</v>
      </c>
      <c r="N2" s="27">
        <v>2</v>
      </c>
      <c r="O2" s="101">
        <v>2</v>
      </c>
      <c r="P2" s="27">
        <v>2</v>
      </c>
      <c r="Q2" s="101">
        <v>2</v>
      </c>
      <c r="R2" s="27">
        <v>2</v>
      </c>
      <c r="S2" s="27" t="s">
        <v>62</v>
      </c>
    </row>
    <row r="3" spans="1:19">
      <c r="A3" s="27" t="s">
        <v>66</v>
      </c>
      <c r="B3" s="27" t="s">
        <v>75</v>
      </c>
      <c r="C3" s="27">
        <v>2</v>
      </c>
      <c r="D3" s="101">
        <v>1</v>
      </c>
      <c r="E3" s="27">
        <v>2</v>
      </c>
      <c r="F3" s="101">
        <v>2</v>
      </c>
      <c r="G3" s="27">
        <v>2</v>
      </c>
      <c r="H3" s="27">
        <v>2</v>
      </c>
      <c r="I3" s="102">
        <v>2</v>
      </c>
      <c r="J3" s="27">
        <v>2</v>
      </c>
      <c r="K3" s="101">
        <v>2</v>
      </c>
      <c r="L3" s="27">
        <v>1</v>
      </c>
      <c r="M3" s="101">
        <v>2</v>
      </c>
      <c r="N3" s="27">
        <v>2</v>
      </c>
      <c r="O3" s="101">
        <v>2</v>
      </c>
      <c r="P3" s="27">
        <v>2</v>
      </c>
      <c r="Q3" s="101">
        <v>2</v>
      </c>
      <c r="R3" s="27">
        <v>2</v>
      </c>
      <c r="S3" s="27" t="s">
        <v>62</v>
      </c>
    </row>
    <row r="4" spans="1:19">
      <c r="A4" s="27" t="s">
        <v>76</v>
      </c>
      <c r="B4" s="27" t="s">
        <v>75</v>
      </c>
      <c r="C4" s="27">
        <v>2</v>
      </c>
      <c r="D4" s="101">
        <v>2</v>
      </c>
      <c r="E4" s="27">
        <v>2</v>
      </c>
      <c r="F4" s="101">
        <v>2</v>
      </c>
      <c r="G4" s="27">
        <v>2</v>
      </c>
      <c r="H4" s="27">
        <v>2</v>
      </c>
      <c r="I4" s="102">
        <v>2</v>
      </c>
      <c r="J4" s="27">
        <v>2</v>
      </c>
      <c r="K4" s="101">
        <v>2</v>
      </c>
      <c r="L4" s="27">
        <v>1</v>
      </c>
      <c r="M4" s="101">
        <v>2</v>
      </c>
      <c r="N4" s="27">
        <v>2</v>
      </c>
      <c r="O4" s="101">
        <v>2</v>
      </c>
      <c r="P4" s="27">
        <v>2</v>
      </c>
      <c r="Q4" s="101">
        <v>2</v>
      </c>
      <c r="R4" s="27">
        <v>2</v>
      </c>
      <c r="S4" s="27" t="s">
        <v>83</v>
      </c>
    </row>
    <row r="5" spans="1:19">
      <c r="A5" s="27" t="s">
        <v>114</v>
      </c>
      <c r="B5" s="27" t="s">
        <v>113</v>
      </c>
      <c r="C5" s="27">
        <v>2</v>
      </c>
      <c r="D5" s="101">
        <v>1</v>
      </c>
      <c r="E5" s="27">
        <v>2</v>
      </c>
      <c r="F5" s="101">
        <v>2</v>
      </c>
      <c r="G5" s="27">
        <v>2</v>
      </c>
      <c r="H5" s="27">
        <v>2</v>
      </c>
      <c r="I5" s="102">
        <v>2</v>
      </c>
      <c r="J5" s="27">
        <v>2</v>
      </c>
      <c r="K5" s="101">
        <v>2</v>
      </c>
      <c r="L5" s="27">
        <v>1</v>
      </c>
      <c r="M5" s="101">
        <v>2</v>
      </c>
      <c r="N5" s="27">
        <v>2</v>
      </c>
      <c r="O5" s="101">
        <v>2</v>
      </c>
      <c r="P5" s="27">
        <v>2</v>
      </c>
      <c r="Q5" s="101">
        <v>2</v>
      </c>
      <c r="R5" s="27">
        <v>1</v>
      </c>
      <c r="S5" s="27" t="s">
        <v>62</v>
      </c>
    </row>
    <row r="6" spans="1:19">
      <c r="A6" s="27" t="s">
        <v>104</v>
      </c>
      <c r="B6" s="27" t="s">
        <v>1405</v>
      </c>
      <c r="C6" s="27">
        <v>2</v>
      </c>
      <c r="D6" s="101">
        <v>1</v>
      </c>
      <c r="E6" s="27">
        <v>2</v>
      </c>
      <c r="F6" s="101">
        <v>2</v>
      </c>
      <c r="G6" s="27">
        <v>2</v>
      </c>
      <c r="H6" s="27">
        <v>2</v>
      </c>
      <c r="I6" s="102">
        <v>2</v>
      </c>
      <c r="J6" s="27">
        <v>2</v>
      </c>
      <c r="K6" s="101">
        <v>1</v>
      </c>
      <c r="L6" s="27">
        <v>1</v>
      </c>
      <c r="M6" s="101">
        <v>2</v>
      </c>
      <c r="N6" s="27">
        <v>2</v>
      </c>
      <c r="O6" s="101">
        <v>2</v>
      </c>
      <c r="P6" s="27">
        <v>2</v>
      </c>
      <c r="Q6" s="101">
        <v>2</v>
      </c>
      <c r="R6" s="27">
        <v>2</v>
      </c>
      <c r="S6" s="27" t="s">
        <v>110</v>
      </c>
    </row>
    <row r="7" spans="1:19">
      <c r="A7" s="27" t="s">
        <v>154</v>
      </c>
      <c r="B7" s="27" t="s">
        <v>1493</v>
      </c>
      <c r="C7" s="27">
        <v>2</v>
      </c>
      <c r="D7" s="101">
        <v>1</v>
      </c>
      <c r="E7" s="27">
        <v>2</v>
      </c>
      <c r="F7" s="101">
        <v>2</v>
      </c>
      <c r="G7" s="27">
        <v>2</v>
      </c>
      <c r="H7" s="27">
        <v>2</v>
      </c>
      <c r="I7" s="102">
        <v>1</v>
      </c>
      <c r="J7" s="27">
        <v>2</v>
      </c>
      <c r="K7" s="101">
        <v>2</v>
      </c>
      <c r="L7" s="27">
        <v>1</v>
      </c>
      <c r="M7" s="101">
        <v>2</v>
      </c>
      <c r="N7" s="27">
        <v>2</v>
      </c>
      <c r="O7" s="101">
        <v>2</v>
      </c>
      <c r="P7" s="27">
        <v>2</v>
      </c>
      <c r="Q7" s="101">
        <v>2</v>
      </c>
      <c r="R7" s="27">
        <v>2</v>
      </c>
      <c r="S7" s="27" t="s">
        <v>62</v>
      </c>
    </row>
    <row r="8" spans="1:19">
      <c r="A8" s="27" t="s">
        <v>127</v>
      </c>
      <c r="B8" s="27" t="s">
        <v>153</v>
      </c>
      <c r="C8" s="27">
        <v>2</v>
      </c>
      <c r="D8" s="101">
        <v>1</v>
      </c>
      <c r="E8" s="27">
        <v>2</v>
      </c>
      <c r="F8" s="101">
        <v>2</v>
      </c>
      <c r="G8" s="27">
        <v>2</v>
      </c>
      <c r="H8" s="27">
        <v>2</v>
      </c>
      <c r="I8" s="102">
        <v>2</v>
      </c>
      <c r="J8" s="27">
        <v>2</v>
      </c>
      <c r="K8" s="101">
        <v>2</v>
      </c>
      <c r="L8" s="27">
        <v>1</v>
      </c>
      <c r="M8" s="101">
        <v>2</v>
      </c>
      <c r="N8" s="27">
        <v>2</v>
      </c>
      <c r="O8" s="101">
        <v>2</v>
      </c>
      <c r="P8" s="27">
        <v>2</v>
      </c>
      <c r="Q8" s="101">
        <v>2</v>
      </c>
      <c r="R8" s="27">
        <v>2</v>
      </c>
      <c r="S8" s="27" t="s">
        <v>62</v>
      </c>
    </row>
    <row r="9" spans="1:19">
      <c r="A9" s="27" t="s">
        <v>168</v>
      </c>
      <c r="B9" s="27" t="s">
        <v>1494</v>
      </c>
      <c r="C9" s="27">
        <v>2</v>
      </c>
      <c r="D9" s="101">
        <v>2</v>
      </c>
      <c r="E9" s="27">
        <v>2</v>
      </c>
      <c r="F9" s="101">
        <v>2</v>
      </c>
      <c r="G9" s="27">
        <v>2</v>
      </c>
      <c r="H9" s="27">
        <v>2</v>
      </c>
      <c r="I9" s="102">
        <v>2</v>
      </c>
      <c r="J9" s="27">
        <v>2</v>
      </c>
      <c r="K9" s="101">
        <v>2</v>
      </c>
      <c r="L9" s="27">
        <v>1</v>
      </c>
      <c r="M9" s="101">
        <v>2</v>
      </c>
      <c r="N9" s="27">
        <v>2</v>
      </c>
      <c r="O9" s="101">
        <v>1</v>
      </c>
      <c r="P9" s="27">
        <v>2</v>
      </c>
      <c r="Q9" s="101">
        <v>1</v>
      </c>
      <c r="R9" s="27">
        <v>2</v>
      </c>
      <c r="S9" s="27" t="s">
        <v>110</v>
      </c>
    </row>
    <row r="10" spans="1:19">
      <c r="A10" s="27" t="s">
        <v>1409</v>
      </c>
      <c r="B10" s="27" t="s">
        <v>1408</v>
      </c>
      <c r="C10" s="27">
        <v>2</v>
      </c>
      <c r="D10" s="101">
        <v>1</v>
      </c>
      <c r="E10" s="27">
        <v>2</v>
      </c>
      <c r="F10" s="101">
        <v>2</v>
      </c>
      <c r="G10" s="27">
        <v>2</v>
      </c>
      <c r="H10" s="27">
        <v>2</v>
      </c>
      <c r="I10" s="102">
        <v>1</v>
      </c>
      <c r="J10" s="27">
        <v>2</v>
      </c>
      <c r="K10" s="101">
        <v>2</v>
      </c>
      <c r="L10" s="27">
        <v>1</v>
      </c>
      <c r="M10" s="101">
        <v>2</v>
      </c>
      <c r="N10" s="27">
        <v>2</v>
      </c>
      <c r="O10" s="101">
        <v>2</v>
      </c>
      <c r="P10" s="27">
        <v>2</v>
      </c>
      <c r="Q10" s="101">
        <v>1</v>
      </c>
      <c r="R10" s="27">
        <v>2</v>
      </c>
      <c r="S10" s="27" t="s">
        <v>110</v>
      </c>
    </row>
    <row r="11" spans="1:19">
      <c r="A11" s="27" t="s">
        <v>255</v>
      </c>
      <c r="B11" s="27" t="s">
        <v>247</v>
      </c>
      <c r="C11" s="27">
        <v>2</v>
      </c>
      <c r="D11" s="101">
        <v>1</v>
      </c>
      <c r="E11" s="27">
        <v>2</v>
      </c>
      <c r="F11" s="101">
        <v>2</v>
      </c>
      <c r="G11" s="27">
        <v>2</v>
      </c>
      <c r="H11" s="27">
        <v>2</v>
      </c>
      <c r="I11" s="102">
        <v>2</v>
      </c>
      <c r="J11" s="27">
        <v>2</v>
      </c>
      <c r="K11" s="101">
        <v>2</v>
      </c>
      <c r="L11" s="27">
        <v>1</v>
      </c>
      <c r="M11" s="101">
        <v>2</v>
      </c>
      <c r="N11" s="27">
        <v>2</v>
      </c>
      <c r="O11" s="101">
        <v>2</v>
      </c>
      <c r="P11" s="27">
        <v>2</v>
      </c>
      <c r="Q11" s="101">
        <v>2</v>
      </c>
      <c r="R11" s="27">
        <v>2</v>
      </c>
      <c r="S11" s="27" t="s">
        <v>62</v>
      </c>
    </row>
    <row r="12" spans="1:19">
      <c r="A12" s="27" t="s">
        <v>248</v>
      </c>
      <c r="B12" s="27" t="s">
        <v>247</v>
      </c>
      <c r="C12" s="27">
        <v>2</v>
      </c>
      <c r="D12" s="101">
        <v>1</v>
      </c>
      <c r="E12" s="27">
        <v>2</v>
      </c>
      <c r="F12" s="101">
        <v>2</v>
      </c>
      <c r="G12" s="27">
        <v>2</v>
      </c>
      <c r="H12" s="27">
        <v>2</v>
      </c>
      <c r="I12" s="102">
        <v>1</v>
      </c>
      <c r="J12" s="27">
        <v>2</v>
      </c>
      <c r="K12" s="101">
        <v>2</v>
      </c>
      <c r="L12" s="27">
        <v>1</v>
      </c>
      <c r="M12" s="101">
        <v>2</v>
      </c>
      <c r="N12" s="27">
        <v>2</v>
      </c>
      <c r="O12" s="101">
        <v>2</v>
      </c>
      <c r="P12" s="27">
        <v>2</v>
      </c>
      <c r="Q12" s="101">
        <v>2</v>
      </c>
      <c r="R12" s="27">
        <v>2</v>
      </c>
      <c r="S12" s="27" t="s">
        <v>62</v>
      </c>
    </row>
    <row r="13" spans="1:19">
      <c r="A13" s="27" t="s">
        <v>263</v>
      </c>
      <c r="B13" s="27" t="s">
        <v>277</v>
      </c>
      <c r="C13" s="27">
        <v>2</v>
      </c>
      <c r="D13" s="101">
        <v>2</v>
      </c>
      <c r="E13" s="27">
        <v>2</v>
      </c>
      <c r="F13" s="101">
        <v>2</v>
      </c>
      <c r="G13" s="27">
        <v>2</v>
      </c>
      <c r="H13" s="27">
        <v>2</v>
      </c>
      <c r="I13" s="102">
        <v>2</v>
      </c>
      <c r="J13" s="27">
        <v>2</v>
      </c>
      <c r="K13" s="101">
        <v>2</v>
      </c>
      <c r="L13" s="27">
        <v>1</v>
      </c>
      <c r="M13" s="101">
        <v>2</v>
      </c>
      <c r="N13" s="27">
        <v>1</v>
      </c>
      <c r="O13" s="101">
        <v>2</v>
      </c>
      <c r="P13" s="27">
        <v>2</v>
      </c>
      <c r="Q13" s="101">
        <v>2</v>
      </c>
      <c r="R13" s="27">
        <v>2</v>
      </c>
      <c r="S13" s="27" t="s">
        <v>146</v>
      </c>
    </row>
    <row r="14" spans="1:19">
      <c r="A14" s="27" t="s">
        <v>278</v>
      </c>
      <c r="B14" s="27" t="s">
        <v>277</v>
      </c>
      <c r="C14" s="27">
        <v>2</v>
      </c>
      <c r="D14" s="101">
        <v>2</v>
      </c>
      <c r="E14" s="27">
        <v>2</v>
      </c>
      <c r="F14" s="101">
        <v>2</v>
      </c>
      <c r="G14" s="27">
        <v>2</v>
      </c>
      <c r="H14" s="27">
        <v>2</v>
      </c>
      <c r="I14" s="102">
        <v>2</v>
      </c>
      <c r="J14" s="27">
        <v>2</v>
      </c>
      <c r="K14" s="101">
        <v>2</v>
      </c>
      <c r="L14" s="27">
        <v>1</v>
      </c>
      <c r="M14" s="101">
        <v>2</v>
      </c>
      <c r="N14" s="27">
        <v>2</v>
      </c>
      <c r="O14" s="101">
        <v>2</v>
      </c>
      <c r="P14" s="27">
        <v>2</v>
      </c>
      <c r="Q14" s="101">
        <v>2</v>
      </c>
      <c r="R14" s="27">
        <v>2</v>
      </c>
      <c r="S14" s="27" t="s">
        <v>83</v>
      </c>
    </row>
    <row r="15" spans="1:19">
      <c r="A15" s="27" t="s">
        <v>285</v>
      </c>
      <c r="B15" s="27" t="s">
        <v>1414</v>
      </c>
      <c r="C15" s="27">
        <v>2</v>
      </c>
      <c r="D15" s="101">
        <v>1</v>
      </c>
      <c r="E15" s="27">
        <v>2</v>
      </c>
      <c r="F15" s="101">
        <v>2</v>
      </c>
      <c r="G15" s="27">
        <v>2</v>
      </c>
      <c r="H15" s="27">
        <v>2</v>
      </c>
      <c r="I15" s="102">
        <v>1</v>
      </c>
      <c r="J15" s="27">
        <v>2</v>
      </c>
      <c r="K15" s="101">
        <v>2</v>
      </c>
      <c r="L15" s="27">
        <v>1</v>
      </c>
      <c r="M15" s="101">
        <v>2</v>
      </c>
      <c r="N15" s="27">
        <v>2</v>
      </c>
      <c r="O15" s="101">
        <v>1</v>
      </c>
      <c r="P15" s="27">
        <v>2</v>
      </c>
      <c r="Q15" s="101">
        <v>2</v>
      </c>
      <c r="R15" s="27">
        <v>2</v>
      </c>
      <c r="S15" s="27" t="s">
        <v>110</v>
      </c>
    </row>
    <row r="16" spans="1:19">
      <c r="A16" s="27" t="s">
        <v>297</v>
      </c>
      <c r="B16" s="27" t="s">
        <v>1495</v>
      </c>
      <c r="C16" s="27">
        <v>2</v>
      </c>
      <c r="D16" s="101">
        <v>1</v>
      </c>
      <c r="E16" s="27">
        <v>2</v>
      </c>
      <c r="F16" s="101">
        <v>2</v>
      </c>
      <c r="G16" s="27">
        <v>2</v>
      </c>
      <c r="H16" s="27">
        <v>2</v>
      </c>
      <c r="I16" s="102">
        <v>2</v>
      </c>
      <c r="J16" s="27">
        <v>2</v>
      </c>
      <c r="K16" s="101">
        <v>1</v>
      </c>
      <c r="L16" s="27">
        <v>1</v>
      </c>
      <c r="M16" s="101">
        <v>2</v>
      </c>
      <c r="N16" s="27">
        <v>1</v>
      </c>
      <c r="O16" s="101">
        <v>2</v>
      </c>
      <c r="P16" s="27">
        <v>2</v>
      </c>
      <c r="Q16" s="101">
        <v>2</v>
      </c>
      <c r="R16" s="27">
        <v>1</v>
      </c>
      <c r="S16" s="27" t="s">
        <v>110</v>
      </c>
    </row>
    <row r="17" spans="1:19">
      <c r="A17" s="27" t="s">
        <v>240</v>
      </c>
      <c r="B17" s="27" t="s">
        <v>1496</v>
      </c>
      <c r="C17" s="27">
        <v>2</v>
      </c>
      <c r="D17" s="101">
        <v>1</v>
      </c>
      <c r="E17" s="27">
        <v>2</v>
      </c>
      <c r="F17" s="101">
        <v>2</v>
      </c>
      <c r="G17" s="27">
        <v>2</v>
      </c>
      <c r="H17" s="27">
        <v>2</v>
      </c>
      <c r="I17" s="102">
        <v>2</v>
      </c>
      <c r="J17" s="27">
        <v>2</v>
      </c>
      <c r="K17" s="101">
        <v>2</v>
      </c>
      <c r="L17" s="27">
        <v>1</v>
      </c>
      <c r="M17" s="101">
        <v>2</v>
      </c>
      <c r="N17" s="27">
        <v>2</v>
      </c>
      <c r="O17" s="101">
        <v>2</v>
      </c>
      <c r="P17" s="27">
        <v>2</v>
      </c>
      <c r="Q17" s="101">
        <v>2</v>
      </c>
      <c r="R17" s="27">
        <v>2</v>
      </c>
      <c r="S17" s="27" t="s">
        <v>62</v>
      </c>
    </row>
    <row r="18" spans="1:19">
      <c r="A18" s="27" t="s">
        <v>337</v>
      </c>
      <c r="B18" s="27" t="s">
        <v>336</v>
      </c>
      <c r="C18" s="27">
        <v>2</v>
      </c>
      <c r="D18" s="101">
        <v>2</v>
      </c>
      <c r="E18" s="27">
        <v>2</v>
      </c>
      <c r="F18" s="101">
        <v>2</v>
      </c>
      <c r="G18" s="27">
        <v>2</v>
      </c>
      <c r="H18" s="27">
        <v>2</v>
      </c>
      <c r="I18" s="102">
        <v>2</v>
      </c>
      <c r="J18" s="27">
        <v>2</v>
      </c>
      <c r="K18" s="101">
        <v>2</v>
      </c>
      <c r="L18" s="27">
        <v>1</v>
      </c>
      <c r="M18" s="101">
        <v>2</v>
      </c>
      <c r="N18" s="27">
        <v>1</v>
      </c>
      <c r="O18" s="101">
        <v>1</v>
      </c>
      <c r="P18" s="27">
        <v>2</v>
      </c>
      <c r="Q18" s="101">
        <v>2</v>
      </c>
      <c r="R18" s="27">
        <v>2</v>
      </c>
      <c r="S18" s="27" t="s">
        <v>62</v>
      </c>
    </row>
    <row r="19" spans="1:19">
      <c r="A19" s="27" t="s">
        <v>424</v>
      </c>
      <c r="B19" s="27" t="s">
        <v>423</v>
      </c>
      <c r="C19" s="27">
        <v>2</v>
      </c>
      <c r="D19" s="101">
        <v>2</v>
      </c>
      <c r="E19" s="27">
        <v>2</v>
      </c>
      <c r="F19" s="101">
        <v>2</v>
      </c>
      <c r="G19" s="27">
        <v>2</v>
      </c>
      <c r="H19" s="27">
        <v>2</v>
      </c>
      <c r="I19" s="102">
        <v>1</v>
      </c>
      <c r="J19" s="27">
        <v>2</v>
      </c>
      <c r="K19" s="101">
        <v>2</v>
      </c>
      <c r="L19" s="27">
        <v>1</v>
      </c>
      <c r="M19" s="101">
        <v>2</v>
      </c>
      <c r="N19" s="27">
        <v>1</v>
      </c>
      <c r="O19" s="101">
        <v>2</v>
      </c>
      <c r="P19" s="27">
        <v>2</v>
      </c>
      <c r="Q19" s="101">
        <v>2</v>
      </c>
      <c r="R19" s="27">
        <v>2</v>
      </c>
      <c r="S19" s="27" t="s">
        <v>146</v>
      </c>
    </row>
    <row r="20" spans="1:19">
      <c r="A20" s="27" t="s">
        <v>418</v>
      </c>
      <c r="B20" s="27" t="s">
        <v>412</v>
      </c>
      <c r="C20" s="27">
        <v>2</v>
      </c>
      <c r="D20" s="101">
        <v>1</v>
      </c>
      <c r="E20" s="27">
        <v>2</v>
      </c>
      <c r="F20" s="101">
        <v>2</v>
      </c>
      <c r="G20" s="27">
        <v>2</v>
      </c>
      <c r="H20" s="27">
        <v>2</v>
      </c>
      <c r="I20" s="102">
        <v>1</v>
      </c>
      <c r="J20" s="27">
        <v>2</v>
      </c>
      <c r="K20" s="101">
        <v>2</v>
      </c>
      <c r="L20" s="27">
        <v>1</v>
      </c>
      <c r="M20" s="101">
        <v>2</v>
      </c>
      <c r="N20" s="27">
        <v>2</v>
      </c>
      <c r="O20" s="101">
        <v>1</v>
      </c>
      <c r="P20" s="27">
        <v>2</v>
      </c>
      <c r="Q20" s="101">
        <v>2</v>
      </c>
      <c r="R20" s="27">
        <v>2</v>
      </c>
      <c r="S20" s="27" t="s">
        <v>110</v>
      </c>
    </row>
    <row r="21" spans="1:19">
      <c r="A21" s="27" t="s">
        <v>309</v>
      </c>
      <c r="B21" s="27" t="s">
        <v>1497</v>
      </c>
      <c r="C21" s="27">
        <v>2</v>
      </c>
      <c r="D21" s="101">
        <v>1</v>
      </c>
      <c r="E21" s="27">
        <v>2</v>
      </c>
      <c r="F21" s="101">
        <v>2</v>
      </c>
      <c r="G21" s="27">
        <v>2</v>
      </c>
      <c r="H21" s="27">
        <v>2</v>
      </c>
      <c r="I21" s="102">
        <v>2</v>
      </c>
      <c r="J21" s="27">
        <v>2</v>
      </c>
      <c r="K21" s="101">
        <v>2</v>
      </c>
      <c r="L21" s="27">
        <v>1</v>
      </c>
      <c r="M21" s="101">
        <v>2</v>
      </c>
      <c r="N21" s="27">
        <v>1</v>
      </c>
      <c r="O21" s="101">
        <v>2</v>
      </c>
      <c r="P21" s="27">
        <v>2</v>
      </c>
      <c r="Q21" s="101">
        <v>2</v>
      </c>
      <c r="R21" s="27">
        <v>2</v>
      </c>
      <c r="S21" s="27" t="s">
        <v>62</v>
      </c>
    </row>
    <row r="22" spans="1:19">
      <c r="A22" s="27" t="s">
        <v>350</v>
      </c>
      <c r="B22" s="27" t="s">
        <v>349</v>
      </c>
      <c r="C22" s="27">
        <v>2</v>
      </c>
      <c r="D22" s="101">
        <v>2</v>
      </c>
      <c r="E22" s="27">
        <v>2</v>
      </c>
      <c r="F22" s="101">
        <v>2</v>
      </c>
      <c r="G22" s="27">
        <v>2</v>
      </c>
      <c r="H22" s="27">
        <v>2</v>
      </c>
      <c r="I22" s="102">
        <v>1</v>
      </c>
      <c r="J22" s="27">
        <v>2</v>
      </c>
      <c r="K22" s="101">
        <v>2</v>
      </c>
      <c r="L22" s="27">
        <v>1</v>
      </c>
      <c r="M22" s="101">
        <v>2</v>
      </c>
      <c r="N22" s="27">
        <v>1</v>
      </c>
      <c r="O22" s="101">
        <v>2</v>
      </c>
      <c r="P22" s="27">
        <v>1</v>
      </c>
      <c r="Q22" s="101">
        <v>2</v>
      </c>
      <c r="R22" s="27">
        <v>2</v>
      </c>
      <c r="S22" s="27" t="s">
        <v>146</v>
      </c>
    </row>
    <row r="23" spans="1:19">
      <c r="A23" s="27" t="s">
        <v>405</v>
      </c>
      <c r="B23" s="27" t="s">
        <v>404</v>
      </c>
      <c r="C23" s="27">
        <v>2</v>
      </c>
      <c r="D23" s="101">
        <v>2</v>
      </c>
      <c r="E23" s="27">
        <v>2</v>
      </c>
      <c r="F23" s="101">
        <v>2</v>
      </c>
      <c r="G23" s="27">
        <v>2</v>
      </c>
      <c r="H23" s="27">
        <v>2</v>
      </c>
      <c r="I23" s="102">
        <v>2</v>
      </c>
      <c r="J23" s="27">
        <v>2</v>
      </c>
      <c r="K23" s="101">
        <v>2</v>
      </c>
      <c r="L23" s="27">
        <v>1</v>
      </c>
      <c r="M23" s="101">
        <v>2</v>
      </c>
      <c r="N23" s="27">
        <v>2</v>
      </c>
      <c r="O23" s="101">
        <v>2</v>
      </c>
      <c r="P23" s="27">
        <v>2</v>
      </c>
      <c r="Q23" s="101">
        <v>2</v>
      </c>
      <c r="R23" s="27">
        <v>2</v>
      </c>
      <c r="S23" s="27" t="s">
        <v>83</v>
      </c>
    </row>
    <row r="24" spans="1:19">
      <c r="A24" s="27" t="s">
        <v>398</v>
      </c>
      <c r="B24" s="27" t="s">
        <v>397</v>
      </c>
      <c r="C24" s="27">
        <v>2</v>
      </c>
      <c r="D24" s="101">
        <v>1</v>
      </c>
      <c r="E24" s="27">
        <v>2</v>
      </c>
      <c r="F24" s="101">
        <v>2</v>
      </c>
      <c r="G24" s="27">
        <v>2</v>
      </c>
      <c r="H24" s="27">
        <v>2</v>
      </c>
      <c r="I24" s="102">
        <v>1</v>
      </c>
      <c r="J24" s="27">
        <v>2</v>
      </c>
      <c r="K24" s="101">
        <v>1</v>
      </c>
      <c r="L24" s="27">
        <v>1</v>
      </c>
      <c r="M24" s="101">
        <v>2</v>
      </c>
      <c r="N24" s="27">
        <v>2</v>
      </c>
      <c r="O24" s="101">
        <v>1</v>
      </c>
      <c r="P24" s="27">
        <v>2</v>
      </c>
      <c r="Q24" s="101">
        <v>2</v>
      </c>
      <c r="R24" s="27">
        <v>2</v>
      </c>
      <c r="S24" s="27" t="s">
        <v>110</v>
      </c>
    </row>
    <row r="25" spans="1:19">
      <c r="A25" s="27" t="s">
        <v>357</v>
      </c>
      <c r="B25" s="27" t="s">
        <v>1498</v>
      </c>
      <c r="C25" s="27">
        <v>2</v>
      </c>
      <c r="D25" s="101">
        <v>1</v>
      </c>
      <c r="E25" s="27">
        <v>2</v>
      </c>
      <c r="F25" s="101">
        <v>2</v>
      </c>
      <c r="G25" s="27">
        <v>2</v>
      </c>
      <c r="H25" s="27">
        <v>2</v>
      </c>
      <c r="I25" s="102">
        <v>2</v>
      </c>
      <c r="J25" s="27">
        <v>2</v>
      </c>
      <c r="K25" s="101">
        <v>2</v>
      </c>
      <c r="L25" s="27">
        <v>1</v>
      </c>
      <c r="M25" s="101">
        <v>2</v>
      </c>
      <c r="N25" s="27">
        <v>1</v>
      </c>
      <c r="O25" s="101">
        <v>2</v>
      </c>
      <c r="P25" s="27">
        <v>2</v>
      </c>
      <c r="Q25" s="101">
        <v>2</v>
      </c>
      <c r="R25" s="27">
        <v>2</v>
      </c>
      <c r="S25" s="27" t="s">
        <v>62</v>
      </c>
    </row>
    <row r="26" spans="1:19">
      <c r="A26" s="27" t="s">
        <v>703</v>
      </c>
      <c r="B26" s="27" t="s">
        <v>1438</v>
      </c>
      <c r="C26" s="27">
        <v>2</v>
      </c>
      <c r="D26" s="101">
        <v>2</v>
      </c>
      <c r="E26" s="27">
        <v>2</v>
      </c>
      <c r="F26" s="101">
        <v>2</v>
      </c>
      <c r="G26" s="27">
        <v>1</v>
      </c>
      <c r="H26" s="27">
        <v>1</v>
      </c>
      <c r="I26" s="102">
        <v>2</v>
      </c>
      <c r="J26" s="27">
        <v>2</v>
      </c>
      <c r="K26" s="101">
        <v>1</v>
      </c>
      <c r="L26" s="27">
        <v>1</v>
      </c>
      <c r="M26" s="101">
        <v>2</v>
      </c>
      <c r="N26" s="27">
        <v>1</v>
      </c>
      <c r="O26" s="101">
        <v>2</v>
      </c>
      <c r="P26" s="27">
        <v>2</v>
      </c>
      <c r="Q26" s="101">
        <v>2</v>
      </c>
      <c r="R26" s="27">
        <v>2</v>
      </c>
      <c r="S26" s="27" t="s">
        <v>62</v>
      </c>
    </row>
    <row r="27" spans="1:19">
      <c r="A27" s="27" t="s">
        <v>710</v>
      </c>
      <c r="B27" s="27" t="s">
        <v>1439</v>
      </c>
      <c r="C27" s="27">
        <v>2</v>
      </c>
      <c r="D27" s="101">
        <v>2</v>
      </c>
      <c r="E27" s="27">
        <v>2</v>
      </c>
      <c r="F27" s="101">
        <v>2</v>
      </c>
      <c r="G27" s="27">
        <v>1</v>
      </c>
      <c r="H27" s="27">
        <v>1</v>
      </c>
      <c r="I27" s="102">
        <v>2</v>
      </c>
      <c r="J27" s="27">
        <v>2</v>
      </c>
      <c r="K27" s="101">
        <v>1</v>
      </c>
      <c r="L27" s="27">
        <v>1</v>
      </c>
      <c r="M27" s="101">
        <v>2</v>
      </c>
      <c r="N27" s="27">
        <v>1</v>
      </c>
      <c r="O27" s="101">
        <v>2</v>
      </c>
      <c r="P27" s="27">
        <v>2</v>
      </c>
      <c r="Q27" s="101">
        <v>2</v>
      </c>
      <c r="R27" s="27">
        <v>2</v>
      </c>
      <c r="S27" s="27" t="s">
        <v>62</v>
      </c>
    </row>
    <row r="28" spans="1:19">
      <c r="A28" s="27" t="s">
        <v>780</v>
      </c>
      <c r="B28" s="27" t="s">
        <v>779</v>
      </c>
      <c r="C28" s="27">
        <v>2</v>
      </c>
      <c r="D28" s="101">
        <v>1</v>
      </c>
      <c r="E28" s="27">
        <v>2</v>
      </c>
      <c r="F28" s="101">
        <v>2</v>
      </c>
      <c r="G28" s="27">
        <v>2</v>
      </c>
      <c r="H28" s="27">
        <v>2</v>
      </c>
      <c r="I28" s="102">
        <v>2</v>
      </c>
      <c r="J28" s="27">
        <v>2</v>
      </c>
      <c r="K28" s="101">
        <v>2</v>
      </c>
      <c r="L28" s="27">
        <v>1</v>
      </c>
      <c r="M28" s="101">
        <v>2</v>
      </c>
      <c r="N28" s="27">
        <v>2</v>
      </c>
      <c r="O28" s="101">
        <v>2</v>
      </c>
      <c r="P28" s="27">
        <v>2</v>
      </c>
      <c r="Q28" s="101">
        <v>2</v>
      </c>
      <c r="R28" s="27">
        <v>2</v>
      </c>
      <c r="S28" s="27" t="s">
        <v>62</v>
      </c>
    </row>
    <row r="29" spans="1:19">
      <c r="A29" s="27" t="s">
        <v>791</v>
      </c>
      <c r="B29" s="27" t="s">
        <v>1499</v>
      </c>
      <c r="C29" s="27">
        <v>2</v>
      </c>
      <c r="D29" s="101">
        <v>1</v>
      </c>
      <c r="E29" s="27">
        <v>2</v>
      </c>
      <c r="F29" s="101">
        <v>1</v>
      </c>
      <c r="G29" s="27">
        <v>1</v>
      </c>
      <c r="H29" s="27">
        <v>1</v>
      </c>
      <c r="I29" s="102">
        <v>1</v>
      </c>
      <c r="J29" s="27">
        <v>2</v>
      </c>
      <c r="K29" s="101">
        <v>1</v>
      </c>
      <c r="L29" s="27">
        <v>1</v>
      </c>
      <c r="M29" s="101">
        <v>2</v>
      </c>
      <c r="N29" s="27">
        <v>2</v>
      </c>
      <c r="O29" s="101">
        <v>2</v>
      </c>
      <c r="P29" s="27">
        <v>2</v>
      </c>
      <c r="Q29" s="101">
        <v>2</v>
      </c>
      <c r="R29" s="27">
        <v>1</v>
      </c>
      <c r="S29" s="27" t="s">
        <v>110</v>
      </c>
    </row>
    <row r="30" spans="1:19">
      <c r="A30" s="27" t="s">
        <v>801</v>
      </c>
      <c r="B30" s="27" t="s">
        <v>800</v>
      </c>
      <c r="C30" s="27">
        <v>2</v>
      </c>
      <c r="D30" s="101">
        <v>2</v>
      </c>
      <c r="E30" s="27">
        <v>2</v>
      </c>
      <c r="F30" s="101">
        <v>1</v>
      </c>
      <c r="G30" s="27">
        <v>1</v>
      </c>
      <c r="H30" s="27">
        <v>1</v>
      </c>
      <c r="I30" s="102">
        <v>1</v>
      </c>
      <c r="J30" s="27">
        <v>2</v>
      </c>
      <c r="K30" s="101">
        <v>2</v>
      </c>
      <c r="L30" s="27">
        <v>1</v>
      </c>
      <c r="M30" s="101">
        <v>2</v>
      </c>
      <c r="N30" s="27">
        <v>2</v>
      </c>
      <c r="O30" s="101">
        <v>2</v>
      </c>
      <c r="P30" s="27">
        <v>2</v>
      </c>
      <c r="Q30" s="101">
        <v>2</v>
      </c>
      <c r="R30" s="27">
        <v>2</v>
      </c>
      <c r="S30" s="27" t="s">
        <v>62</v>
      </c>
    </row>
    <row r="31" spans="1:19">
      <c r="A31" s="27" t="s">
        <v>437</v>
      </c>
      <c r="B31" s="27" t="s">
        <v>1500</v>
      </c>
      <c r="C31" s="27">
        <v>2</v>
      </c>
      <c r="D31" s="101">
        <v>1</v>
      </c>
      <c r="E31" s="27">
        <v>2</v>
      </c>
      <c r="F31" s="101">
        <v>2</v>
      </c>
      <c r="G31" s="27">
        <v>2</v>
      </c>
      <c r="H31" s="27">
        <v>2</v>
      </c>
      <c r="I31" s="102">
        <v>2</v>
      </c>
      <c r="J31" s="27">
        <v>2</v>
      </c>
      <c r="K31" s="101">
        <v>2</v>
      </c>
      <c r="L31" s="27">
        <v>1</v>
      </c>
      <c r="M31" s="101">
        <v>2</v>
      </c>
      <c r="N31" s="27">
        <v>2</v>
      </c>
      <c r="O31" s="101">
        <v>2</v>
      </c>
      <c r="P31" s="27">
        <v>2</v>
      </c>
      <c r="Q31" s="101">
        <v>2</v>
      </c>
      <c r="R31" s="27">
        <v>2</v>
      </c>
      <c r="S31" s="27" t="s">
        <v>62</v>
      </c>
    </row>
    <row r="32" spans="1:19">
      <c r="A32" s="27" t="s">
        <v>486</v>
      </c>
      <c r="B32" s="27" t="s">
        <v>1501</v>
      </c>
      <c r="C32" s="27">
        <v>2</v>
      </c>
      <c r="D32" s="101">
        <v>1</v>
      </c>
      <c r="E32" s="27">
        <v>2</v>
      </c>
      <c r="F32" s="101">
        <v>2</v>
      </c>
      <c r="G32" s="27">
        <v>2</v>
      </c>
      <c r="H32" s="27">
        <v>2</v>
      </c>
      <c r="I32" s="102">
        <v>2</v>
      </c>
      <c r="J32" s="27">
        <v>2</v>
      </c>
      <c r="K32" s="101">
        <v>2</v>
      </c>
      <c r="L32" s="27">
        <v>1</v>
      </c>
      <c r="M32" s="101">
        <v>2</v>
      </c>
      <c r="N32" s="27">
        <v>2</v>
      </c>
      <c r="O32" s="101">
        <v>2</v>
      </c>
      <c r="P32" s="27">
        <v>2</v>
      </c>
      <c r="Q32" s="101">
        <v>2</v>
      </c>
      <c r="R32" s="27">
        <v>2</v>
      </c>
      <c r="S32" s="27" t="s">
        <v>62</v>
      </c>
    </row>
    <row r="33" spans="1:19">
      <c r="A33" s="27" t="s">
        <v>492</v>
      </c>
      <c r="B33" s="27" t="s">
        <v>491</v>
      </c>
      <c r="C33" s="27">
        <v>2</v>
      </c>
      <c r="D33" s="101">
        <v>2</v>
      </c>
      <c r="E33" s="27">
        <v>2</v>
      </c>
      <c r="F33" s="101">
        <v>2</v>
      </c>
      <c r="G33" s="27">
        <v>2</v>
      </c>
      <c r="H33" s="27">
        <v>2</v>
      </c>
      <c r="I33" s="102">
        <v>2</v>
      </c>
      <c r="J33" s="27">
        <v>2</v>
      </c>
      <c r="K33" s="101">
        <v>2</v>
      </c>
      <c r="L33" s="27">
        <v>1</v>
      </c>
      <c r="M33" s="101">
        <v>2</v>
      </c>
      <c r="N33" s="27">
        <v>2</v>
      </c>
      <c r="O33" s="101">
        <v>2</v>
      </c>
      <c r="P33" s="27">
        <v>2</v>
      </c>
      <c r="Q33" s="101">
        <v>2</v>
      </c>
      <c r="R33" s="27">
        <v>2</v>
      </c>
      <c r="S33" s="27" t="s">
        <v>83</v>
      </c>
    </row>
    <row r="34" spans="1:19">
      <c r="A34" s="27" t="s">
        <v>514</v>
      </c>
      <c r="B34" s="27" t="s">
        <v>1502</v>
      </c>
      <c r="C34" s="27">
        <v>2</v>
      </c>
      <c r="D34" s="101">
        <v>2</v>
      </c>
      <c r="E34" s="27">
        <v>2</v>
      </c>
      <c r="F34" s="101">
        <v>2</v>
      </c>
      <c r="G34" s="27">
        <v>2</v>
      </c>
      <c r="H34" s="27">
        <v>2</v>
      </c>
      <c r="I34" s="102">
        <v>2</v>
      </c>
      <c r="J34" s="27">
        <v>2</v>
      </c>
      <c r="K34" s="101">
        <v>2</v>
      </c>
      <c r="L34" s="27">
        <v>2</v>
      </c>
      <c r="M34" s="101">
        <v>2</v>
      </c>
      <c r="N34" s="27">
        <v>2</v>
      </c>
      <c r="O34" s="101">
        <v>2</v>
      </c>
      <c r="P34" s="27">
        <v>2</v>
      </c>
      <c r="Q34" s="101">
        <v>2</v>
      </c>
      <c r="R34" s="27">
        <v>2</v>
      </c>
      <c r="S34" s="27" t="s">
        <v>83</v>
      </c>
    </row>
    <row r="35" spans="1:19">
      <c r="A35" s="27" t="s">
        <v>499</v>
      </c>
      <c r="B35" s="27" t="s">
        <v>1503</v>
      </c>
      <c r="C35" s="27">
        <v>2</v>
      </c>
      <c r="D35" s="101">
        <v>1</v>
      </c>
      <c r="E35" s="27">
        <v>2</v>
      </c>
      <c r="F35" s="101">
        <v>2</v>
      </c>
      <c r="G35" s="27">
        <v>2</v>
      </c>
      <c r="H35" s="27">
        <v>2</v>
      </c>
      <c r="I35" s="102">
        <v>2</v>
      </c>
      <c r="J35" s="27">
        <v>2</v>
      </c>
      <c r="K35" s="101">
        <v>2</v>
      </c>
      <c r="L35" s="27">
        <v>1</v>
      </c>
      <c r="M35" s="101">
        <v>2</v>
      </c>
      <c r="N35" s="27">
        <v>1</v>
      </c>
      <c r="O35" s="101">
        <v>2</v>
      </c>
      <c r="P35" s="27">
        <v>2</v>
      </c>
      <c r="Q35" s="101">
        <v>2</v>
      </c>
      <c r="R35" s="27">
        <v>2</v>
      </c>
      <c r="S35" s="27" t="s">
        <v>62</v>
      </c>
    </row>
    <row r="36" spans="1:19">
      <c r="A36" s="27" t="s">
        <v>749</v>
      </c>
      <c r="B36" s="27" t="s">
        <v>1504</v>
      </c>
      <c r="C36" s="27">
        <v>2</v>
      </c>
      <c r="D36" s="101">
        <v>1</v>
      </c>
      <c r="E36" s="27">
        <v>2</v>
      </c>
      <c r="F36" s="101">
        <v>2</v>
      </c>
      <c r="G36" s="27">
        <v>2</v>
      </c>
      <c r="H36" s="27">
        <v>2</v>
      </c>
      <c r="I36" s="102">
        <v>2</v>
      </c>
      <c r="J36" s="27">
        <v>2</v>
      </c>
      <c r="K36" s="101">
        <v>2</v>
      </c>
      <c r="L36" s="27">
        <v>1</v>
      </c>
      <c r="M36" s="101">
        <v>2</v>
      </c>
      <c r="N36" s="27">
        <v>2</v>
      </c>
      <c r="O36" s="101">
        <v>2</v>
      </c>
      <c r="P36" s="27">
        <v>2</v>
      </c>
      <c r="Q36" s="101">
        <v>2</v>
      </c>
      <c r="R36" s="27">
        <v>2</v>
      </c>
      <c r="S36" s="27" t="s">
        <v>62</v>
      </c>
    </row>
    <row r="37" spans="1:19">
      <c r="A37" s="27" t="s">
        <v>734</v>
      </c>
      <c r="B37" s="27" t="s">
        <v>1505</v>
      </c>
      <c r="C37" s="27">
        <v>2</v>
      </c>
      <c r="D37" s="101">
        <v>1</v>
      </c>
      <c r="E37" s="27">
        <v>2</v>
      </c>
      <c r="F37" s="101">
        <v>2</v>
      </c>
      <c r="G37" s="27">
        <v>2</v>
      </c>
      <c r="H37" s="27">
        <v>2</v>
      </c>
      <c r="I37" s="102">
        <v>1</v>
      </c>
      <c r="J37" s="27">
        <v>2</v>
      </c>
      <c r="K37" s="101">
        <v>1</v>
      </c>
      <c r="L37" s="27">
        <v>1</v>
      </c>
      <c r="M37" s="101">
        <v>2</v>
      </c>
      <c r="N37" s="27">
        <v>1</v>
      </c>
      <c r="O37" s="101">
        <v>2</v>
      </c>
      <c r="P37" s="27">
        <v>2</v>
      </c>
      <c r="Q37" s="101">
        <v>2</v>
      </c>
      <c r="R37" s="27">
        <v>2</v>
      </c>
      <c r="S37" s="27" t="s">
        <v>110</v>
      </c>
    </row>
    <row r="38" spans="1:19">
      <c r="A38" s="27" t="s">
        <v>741</v>
      </c>
      <c r="B38" s="27" t="s">
        <v>1504</v>
      </c>
      <c r="C38" s="27">
        <v>2</v>
      </c>
      <c r="D38" s="101">
        <v>1</v>
      </c>
      <c r="E38" s="27">
        <v>2</v>
      </c>
      <c r="F38" s="101">
        <v>1</v>
      </c>
      <c r="G38" s="27">
        <v>1</v>
      </c>
      <c r="H38" s="27">
        <v>1</v>
      </c>
      <c r="I38" s="102">
        <v>1</v>
      </c>
      <c r="J38" s="27">
        <v>2</v>
      </c>
      <c r="K38" s="101">
        <v>1</v>
      </c>
      <c r="L38" s="27">
        <v>1</v>
      </c>
      <c r="M38" s="101">
        <v>2</v>
      </c>
      <c r="N38" s="27">
        <v>2</v>
      </c>
      <c r="O38" s="101">
        <v>2</v>
      </c>
      <c r="P38" s="27">
        <v>2</v>
      </c>
      <c r="Q38" s="101">
        <v>2</v>
      </c>
      <c r="R38" s="27">
        <v>1</v>
      </c>
      <c r="S38" s="27" t="s">
        <v>110</v>
      </c>
    </row>
    <row r="39" spans="1:19">
      <c r="A39" s="27" t="s">
        <v>728</v>
      </c>
      <c r="B39" s="27" t="s">
        <v>1505</v>
      </c>
      <c r="C39" s="27">
        <v>2</v>
      </c>
      <c r="D39" s="101">
        <v>1</v>
      </c>
      <c r="E39" s="27">
        <v>2</v>
      </c>
      <c r="F39" s="101">
        <v>1</v>
      </c>
      <c r="G39" s="27">
        <v>2</v>
      </c>
      <c r="H39" s="27">
        <v>2</v>
      </c>
      <c r="I39" s="102">
        <v>1</v>
      </c>
      <c r="J39" s="27">
        <v>2</v>
      </c>
      <c r="K39" s="101">
        <v>1</v>
      </c>
      <c r="L39" s="27">
        <v>1</v>
      </c>
      <c r="M39" s="101">
        <v>2</v>
      </c>
      <c r="N39" s="27">
        <v>2</v>
      </c>
      <c r="O39" s="101">
        <v>2</v>
      </c>
      <c r="P39" s="27">
        <v>2</v>
      </c>
      <c r="Q39" s="101">
        <v>2</v>
      </c>
      <c r="R39" s="27">
        <v>2</v>
      </c>
      <c r="S39" s="27" t="s">
        <v>110</v>
      </c>
    </row>
    <row r="40" spans="1:19">
      <c r="A40" s="27" t="s">
        <v>717</v>
      </c>
      <c r="B40" s="27" t="s">
        <v>1506</v>
      </c>
      <c r="C40" s="27">
        <v>2</v>
      </c>
      <c r="D40" s="101">
        <v>1</v>
      </c>
      <c r="E40" s="27">
        <v>2</v>
      </c>
      <c r="F40" s="101">
        <v>2</v>
      </c>
      <c r="G40" s="27">
        <v>2</v>
      </c>
      <c r="H40" s="27">
        <v>2</v>
      </c>
      <c r="I40" s="102">
        <v>1</v>
      </c>
      <c r="J40" s="27">
        <v>2</v>
      </c>
      <c r="K40" s="101">
        <v>1</v>
      </c>
      <c r="L40" s="27">
        <v>1</v>
      </c>
      <c r="M40" s="101">
        <v>2</v>
      </c>
      <c r="N40" s="27">
        <v>2</v>
      </c>
      <c r="O40" s="101">
        <v>1</v>
      </c>
      <c r="P40" s="27">
        <v>2</v>
      </c>
      <c r="Q40" s="101">
        <v>2</v>
      </c>
      <c r="R40" s="27">
        <v>1</v>
      </c>
      <c r="S40" s="27" t="s">
        <v>110</v>
      </c>
    </row>
    <row r="41" spans="1:19">
      <c r="A41" s="27" t="s">
        <v>796</v>
      </c>
      <c r="B41" s="27" t="s">
        <v>1507</v>
      </c>
      <c r="C41" s="27">
        <v>2</v>
      </c>
      <c r="D41" s="101">
        <v>1</v>
      </c>
      <c r="E41" s="27">
        <v>2</v>
      </c>
      <c r="F41" s="101">
        <v>2</v>
      </c>
      <c r="G41" s="27">
        <v>2</v>
      </c>
      <c r="H41" s="27">
        <v>2</v>
      </c>
      <c r="I41" s="102">
        <v>2</v>
      </c>
      <c r="J41" s="27">
        <v>2</v>
      </c>
      <c r="K41" s="101">
        <v>1</v>
      </c>
      <c r="L41" s="27">
        <v>1</v>
      </c>
      <c r="M41" s="101">
        <v>2</v>
      </c>
      <c r="N41" s="27">
        <v>2</v>
      </c>
      <c r="O41" s="101">
        <v>2</v>
      </c>
      <c r="P41" s="27">
        <v>2</v>
      </c>
      <c r="Q41" s="101">
        <v>2</v>
      </c>
      <c r="R41" s="27">
        <v>2</v>
      </c>
      <c r="S41" s="27" t="s">
        <v>110</v>
      </c>
    </row>
    <row r="42" spans="1:19">
      <c r="A42" s="27" t="s">
        <v>536</v>
      </c>
      <c r="B42" s="27" t="s">
        <v>1508</v>
      </c>
      <c r="C42" s="27">
        <v>2</v>
      </c>
      <c r="D42" s="101">
        <v>2</v>
      </c>
      <c r="E42" s="27">
        <v>2</v>
      </c>
      <c r="F42" s="101">
        <v>2</v>
      </c>
      <c r="G42" s="27">
        <v>2</v>
      </c>
      <c r="H42" s="27">
        <v>2</v>
      </c>
      <c r="I42" s="102">
        <v>2</v>
      </c>
      <c r="J42" s="27">
        <v>2</v>
      </c>
      <c r="K42" s="101">
        <v>2</v>
      </c>
      <c r="L42" s="27">
        <v>1</v>
      </c>
      <c r="M42" s="101">
        <v>2</v>
      </c>
      <c r="N42" s="27">
        <v>2</v>
      </c>
      <c r="O42" s="101">
        <v>2</v>
      </c>
      <c r="P42" s="27">
        <v>2</v>
      </c>
      <c r="Q42" s="101">
        <v>2</v>
      </c>
      <c r="R42" s="27">
        <v>2</v>
      </c>
      <c r="S42" s="27" t="s">
        <v>83</v>
      </c>
    </row>
    <row r="43" spans="1:19">
      <c r="A43" s="27" t="s">
        <v>615</v>
      </c>
      <c r="B43" s="27" t="s">
        <v>614</v>
      </c>
      <c r="C43" s="27">
        <v>2</v>
      </c>
      <c r="D43" s="101">
        <v>1</v>
      </c>
      <c r="E43" s="27">
        <v>2</v>
      </c>
      <c r="F43" s="101">
        <v>2</v>
      </c>
      <c r="G43" s="27">
        <v>1</v>
      </c>
      <c r="H43" s="27">
        <v>1</v>
      </c>
      <c r="I43" s="102">
        <v>2</v>
      </c>
      <c r="J43" s="27">
        <v>2</v>
      </c>
      <c r="K43" s="101">
        <v>2</v>
      </c>
      <c r="L43" s="27">
        <v>1</v>
      </c>
      <c r="M43" s="101">
        <v>2</v>
      </c>
      <c r="N43" s="27">
        <v>1</v>
      </c>
      <c r="O43" s="101">
        <v>2</v>
      </c>
      <c r="P43" s="27">
        <v>2</v>
      </c>
      <c r="Q43" s="101">
        <v>2</v>
      </c>
      <c r="R43" s="27">
        <v>2</v>
      </c>
      <c r="S43" s="27" t="s">
        <v>62</v>
      </c>
    </row>
    <row r="44" spans="1:19">
      <c r="A44" s="27" t="s">
        <v>623</v>
      </c>
      <c r="B44" s="27" t="s">
        <v>622</v>
      </c>
      <c r="C44" s="27">
        <v>2</v>
      </c>
      <c r="D44" s="101">
        <v>2</v>
      </c>
      <c r="E44" s="27">
        <v>2</v>
      </c>
      <c r="F44" s="101">
        <v>2</v>
      </c>
      <c r="G44" s="27">
        <v>2</v>
      </c>
      <c r="H44" s="27">
        <v>2</v>
      </c>
      <c r="I44" s="102">
        <v>2</v>
      </c>
      <c r="J44" s="27">
        <v>1</v>
      </c>
      <c r="K44" s="101">
        <v>2</v>
      </c>
      <c r="L44" s="27">
        <v>1</v>
      </c>
      <c r="M44" s="101">
        <v>2</v>
      </c>
      <c r="N44" s="27">
        <v>2</v>
      </c>
      <c r="O44" s="101">
        <v>2</v>
      </c>
      <c r="P44" s="27">
        <v>2</v>
      </c>
      <c r="Q44" s="101">
        <v>1</v>
      </c>
      <c r="R44" s="27">
        <v>2</v>
      </c>
      <c r="S44" s="27" t="s">
        <v>62</v>
      </c>
    </row>
    <row r="45" spans="1:19">
      <c r="A45" s="27" t="s">
        <v>644</v>
      </c>
      <c r="B45" s="27" t="s">
        <v>643</v>
      </c>
      <c r="C45" s="27">
        <v>2</v>
      </c>
      <c r="D45" s="101">
        <v>2</v>
      </c>
      <c r="E45" s="27">
        <v>2</v>
      </c>
      <c r="F45" s="101">
        <v>2</v>
      </c>
      <c r="G45" s="27">
        <v>2</v>
      </c>
      <c r="H45" s="27">
        <v>2</v>
      </c>
      <c r="I45" s="102">
        <v>2</v>
      </c>
      <c r="J45" s="27">
        <v>2</v>
      </c>
      <c r="K45" s="101">
        <v>2</v>
      </c>
      <c r="L45" s="27">
        <v>1</v>
      </c>
      <c r="M45" s="101">
        <v>2</v>
      </c>
      <c r="N45" s="27">
        <v>2</v>
      </c>
      <c r="O45" s="101">
        <v>2</v>
      </c>
      <c r="P45" s="27">
        <v>2</v>
      </c>
      <c r="Q45" s="101">
        <v>2</v>
      </c>
      <c r="R45" s="27">
        <v>2</v>
      </c>
      <c r="S45" s="27" t="s">
        <v>83</v>
      </c>
    </row>
    <row r="46" spans="1:19">
      <c r="A46" s="27" t="s">
        <v>1275</v>
      </c>
      <c r="B46" s="27" t="s">
        <v>1469</v>
      </c>
      <c r="C46" s="27">
        <v>2</v>
      </c>
      <c r="D46" s="101">
        <v>1</v>
      </c>
      <c r="E46" s="27">
        <v>2</v>
      </c>
      <c r="F46" s="101">
        <v>2</v>
      </c>
      <c r="G46" s="27">
        <v>2</v>
      </c>
      <c r="H46" s="27">
        <v>2</v>
      </c>
      <c r="I46" s="102">
        <v>1</v>
      </c>
      <c r="J46" s="27">
        <v>2</v>
      </c>
      <c r="K46" s="101">
        <v>2</v>
      </c>
      <c r="L46" s="27">
        <v>1</v>
      </c>
      <c r="M46" s="101">
        <v>2</v>
      </c>
      <c r="N46" s="27">
        <v>2</v>
      </c>
      <c r="O46" s="101">
        <v>2</v>
      </c>
      <c r="P46" s="27">
        <v>2</v>
      </c>
      <c r="Q46" s="101">
        <v>2</v>
      </c>
      <c r="R46" s="27">
        <v>2</v>
      </c>
      <c r="S46" s="27" t="s">
        <v>62</v>
      </c>
    </row>
    <row r="47" spans="1:19">
      <c r="A47" s="27" t="s">
        <v>1282</v>
      </c>
      <c r="B47" s="27" t="s">
        <v>1509</v>
      </c>
      <c r="C47" s="27">
        <v>2</v>
      </c>
      <c r="D47" s="101">
        <v>2</v>
      </c>
      <c r="E47" s="27">
        <v>2</v>
      </c>
      <c r="F47" s="101">
        <v>2</v>
      </c>
      <c r="G47" s="27">
        <v>2</v>
      </c>
      <c r="H47" s="27">
        <v>2</v>
      </c>
      <c r="I47" s="102">
        <v>1</v>
      </c>
      <c r="J47" s="27">
        <v>2</v>
      </c>
      <c r="K47" s="101">
        <v>2</v>
      </c>
      <c r="L47" s="27">
        <v>1</v>
      </c>
      <c r="M47" s="101">
        <v>2</v>
      </c>
      <c r="N47" s="27">
        <v>2</v>
      </c>
      <c r="O47" s="101">
        <v>2</v>
      </c>
      <c r="P47" s="27">
        <v>2</v>
      </c>
      <c r="Q47" s="101">
        <v>2</v>
      </c>
      <c r="R47" s="27">
        <v>2</v>
      </c>
      <c r="S47" s="27" t="s">
        <v>146</v>
      </c>
    </row>
    <row r="48" spans="1:19">
      <c r="A48" s="27" t="s">
        <v>636</v>
      </c>
      <c r="B48" s="27" t="s">
        <v>635</v>
      </c>
      <c r="C48" s="27">
        <v>2</v>
      </c>
      <c r="D48" s="101">
        <v>2</v>
      </c>
      <c r="E48" s="27">
        <v>2</v>
      </c>
      <c r="F48" s="101">
        <v>2</v>
      </c>
      <c r="G48" s="27">
        <v>2</v>
      </c>
      <c r="H48" s="27">
        <v>2</v>
      </c>
      <c r="I48" s="102">
        <v>1</v>
      </c>
      <c r="J48" s="27">
        <v>2</v>
      </c>
      <c r="K48" s="101">
        <v>2</v>
      </c>
      <c r="L48" s="27">
        <v>1</v>
      </c>
      <c r="M48" s="101">
        <v>2</v>
      </c>
      <c r="N48" s="27">
        <v>2</v>
      </c>
      <c r="O48" s="101">
        <v>2</v>
      </c>
      <c r="P48" s="27">
        <v>2</v>
      </c>
      <c r="Q48" s="101">
        <v>2</v>
      </c>
      <c r="R48" s="27">
        <v>1</v>
      </c>
      <c r="S48" s="27" t="s">
        <v>146</v>
      </c>
    </row>
    <row r="49" spans="1:19">
      <c r="A49" s="27" t="s">
        <v>663</v>
      </c>
      <c r="B49" s="27" t="s">
        <v>1433</v>
      </c>
      <c r="C49" s="27">
        <v>2</v>
      </c>
      <c r="D49" s="101">
        <v>2</v>
      </c>
      <c r="E49" s="27">
        <v>2</v>
      </c>
      <c r="F49" s="101">
        <v>2</v>
      </c>
      <c r="G49" s="27">
        <v>2</v>
      </c>
      <c r="H49" s="27">
        <v>2</v>
      </c>
      <c r="I49" s="102">
        <v>2</v>
      </c>
      <c r="J49" s="27">
        <v>2</v>
      </c>
      <c r="K49" s="101">
        <v>2</v>
      </c>
      <c r="L49" s="27">
        <v>1</v>
      </c>
      <c r="M49" s="101">
        <v>2</v>
      </c>
      <c r="N49" s="27">
        <v>2</v>
      </c>
      <c r="O49" s="101">
        <v>2</v>
      </c>
      <c r="P49" s="27">
        <v>2</v>
      </c>
      <c r="Q49" s="101">
        <v>2</v>
      </c>
      <c r="R49" s="27">
        <v>2</v>
      </c>
      <c r="S49" s="27" t="s">
        <v>83</v>
      </c>
    </row>
    <row r="50" spans="1:19">
      <c r="A50" s="27" t="s">
        <v>689</v>
      </c>
      <c r="B50" s="34" t="s">
        <v>688</v>
      </c>
      <c r="C50" s="27">
        <v>2</v>
      </c>
      <c r="D50" s="101">
        <v>1</v>
      </c>
      <c r="E50" s="27">
        <v>2</v>
      </c>
      <c r="F50" s="101">
        <v>2</v>
      </c>
      <c r="G50" s="27">
        <v>1</v>
      </c>
      <c r="H50" s="27">
        <v>1</v>
      </c>
      <c r="I50" s="102">
        <v>2</v>
      </c>
      <c r="J50" s="27">
        <v>2</v>
      </c>
      <c r="K50" s="101">
        <v>1</v>
      </c>
      <c r="L50" s="27">
        <v>1</v>
      </c>
      <c r="M50" s="101">
        <v>2</v>
      </c>
      <c r="N50" s="27">
        <v>2</v>
      </c>
      <c r="O50" s="101">
        <v>2</v>
      </c>
      <c r="P50" s="27">
        <v>2</v>
      </c>
      <c r="Q50" s="101">
        <v>2</v>
      </c>
      <c r="R50" s="27">
        <v>2</v>
      </c>
      <c r="S50" s="27" t="s">
        <v>110</v>
      </c>
    </row>
    <row r="51" spans="1:19">
      <c r="A51" s="27" t="s">
        <v>580</v>
      </c>
      <c r="B51" s="27" t="s">
        <v>579</v>
      </c>
      <c r="C51" s="27">
        <v>2</v>
      </c>
      <c r="D51" s="101">
        <v>2</v>
      </c>
      <c r="E51" s="27">
        <v>2</v>
      </c>
      <c r="F51" s="101">
        <v>2</v>
      </c>
      <c r="G51" s="27">
        <v>2</v>
      </c>
      <c r="H51" s="27">
        <v>2</v>
      </c>
      <c r="I51" s="102">
        <v>1</v>
      </c>
      <c r="J51" s="27">
        <v>2</v>
      </c>
      <c r="K51" s="101">
        <v>2</v>
      </c>
      <c r="L51" s="27">
        <v>1</v>
      </c>
      <c r="M51" s="101">
        <v>2</v>
      </c>
      <c r="N51" s="27">
        <v>1</v>
      </c>
      <c r="O51" s="101">
        <v>2</v>
      </c>
      <c r="P51" s="27">
        <v>2</v>
      </c>
      <c r="Q51" s="101">
        <v>2</v>
      </c>
      <c r="R51" s="27">
        <v>2</v>
      </c>
      <c r="S51" s="27" t="s">
        <v>146</v>
      </c>
    </row>
    <row r="52" spans="1:19">
      <c r="A52" s="27" t="s">
        <v>671</v>
      </c>
      <c r="B52" s="27" t="s">
        <v>670</v>
      </c>
      <c r="C52" s="27">
        <v>2</v>
      </c>
      <c r="D52" s="101">
        <v>2</v>
      </c>
      <c r="E52" s="27">
        <v>2</v>
      </c>
      <c r="F52" s="101">
        <v>2</v>
      </c>
      <c r="G52" s="27">
        <v>2</v>
      </c>
      <c r="H52" s="27">
        <v>2</v>
      </c>
      <c r="I52" s="102">
        <v>2</v>
      </c>
      <c r="J52" s="27">
        <v>2</v>
      </c>
      <c r="K52" s="101">
        <v>1</v>
      </c>
      <c r="L52" s="27">
        <v>1</v>
      </c>
      <c r="M52" s="101">
        <v>2</v>
      </c>
      <c r="N52" s="27">
        <v>1</v>
      </c>
      <c r="O52" s="101">
        <v>2</v>
      </c>
      <c r="P52" s="27">
        <v>1</v>
      </c>
      <c r="Q52" s="101">
        <v>1</v>
      </c>
      <c r="R52" s="27">
        <v>2</v>
      </c>
      <c r="S52" s="27" t="s">
        <v>110</v>
      </c>
    </row>
    <row r="53" spans="1:19">
      <c r="A53" s="27" t="s">
        <v>1355</v>
      </c>
      <c r="B53" s="27" t="s">
        <v>1474</v>
      </c>
      <c r="C53" s="27">
        <v>2</v>
      </c>
      <c r="D53" s="101">
        <v>1</v>
      </c>
      <c r="E53" s="27">
        <v>2</v>
      </c>
      <c r="F53" s="101">
        <v>2</v>
      </c>
      <c r="G53" s="27">
        <v>2</v>
      </c>
      <c r="H53" s="27">
        <v>2</v>
      </c>
      <c r="I53" s="102">
        <v>2</v>
      </c>
      <c r="J53" s="27">
        <v>2</v>
      </c>
      <c r="K53" s="101">
        <v>2</v>
      </c>
      <c r="L53" s="27">
        <v>1</v>
      </c>
      <c r="M53" s="101">
        <v>2</v>
      </c>
      <c r="N53" s="27">
        <v>1</v>
      </c>
      <c r="O53" s="101">
        <v>1</v>
      </c>
      <c r="P53" s="27">
        <v>2</v>
      </c>
      <c r="Q53" s="101">
        <v>2</v>
      </c>
      <c r="R53" s="27">
        <v>2</v>
      </c>
      <c r="S53" s="27" t="s">
        <v>110</v>
      </c>
    </row>
    <row r="54" spans="1:19">
      <c r="A54" s="27" t="s">
        <v>696</v>
      </c>
      <c r="B54" s="27" t="s">
        <v>1436</v>
      </c>
      <c r="C54" s="27">
        <v>2</v>
      </c>
      <c r="D54" s="101">
        <v>2</v>
      </c>
      <c r="E54" s="27">
        <v>2</v>
      </c>
      <c r="F54" s="101">
        <v>2</v>
      </c>
      <c r="G54" s="27">
        <v>2</v>
      </c>
      <c r="H54" s="27">
        <v>2</v>
      </c>
      <c r="I54" s="102">
        <v>2</v>
      </c>
      <c r="J54" s="27">
        <v>2</v>
      </c>
      <c r="K54" s="101">
        <v>2</v>
      </c>
      <c r="L54" s="27">
        <v>1</v>
      </c>
      <c r="M54" s="101">
        <v>2</v>
      </c>
      <c r="N54" s="27">
        <v>1</v>
      </c>
      <c r="O54" s="101">
        <v>2</v>
      </c>
      <c r="P54" s="27">
        <v>2</v>
      </c>
      <c r="Q54" s="101">
        <v>2</v>
      </c>
      <c r="R54" s="27">
        <v>2</v>
      </c>
      <c r="S54" s="27" t="s">
        <v>146</v>
      </c>
    </row>
    <row r="55" spans="1:19">
      <c r="A55" s="27" t="s">
        <v>679</v>
      </c>
      <c r="B55" s="27" t="s">
        <v>1510</v>
      </c>
      <c r="C55" s="27">
        <v>2</v>
      </c>
      <c r="D55" s="101">
        <v>1</v>
      </c>
      <c r="E55" s="27">
        <v>2</v>
      </c>
      <c r="F55" s="101">
        <v>2</v>
      </c>
      <c r="G55" s="27">
        <v>2</v>
      </c>
      <c r="H55" s="27">
        <v>2</v>
      </c>
      <c r="I55" s="102">
        <v>2</v>
      </c>
      <c r="J55" s="27">
        <v>2</v>
      </c>
      <c r="K55" s="101">
        <v>2</v>
      </c>
      <c r="L55" s="27">
        <v>1</v>
      </c>
      <c r="M55" s="101">
        <v>2</v>
      </c>
      <c r="N55" s="27">
        <v>2</v>
      </c>
      <c r="O55" s="101">
        <v>2</v>
      </c>
      <c r="P55" s="27">
        <v>2</v>
      </c>
      <c r="Q55" s="101">
        <v>2</v>
      </c>
      <c r="R55" s="27">
        <v>2</v>
      </c>
      <c r="S55" s="27" t="s">
        <v>62</v>
      </c>
    </row>
    <row r="56" spans="1:19">
      <c r="A56" s="27" t="s">
        <v>884</v>
      </c>
      <c r="B56" s="27" t="s">
        <v>883</v>
      </c>
      <c r="C56" s="27">
        <v>2</v>
      </c>
      <c r="D56" s="101">
        <v>2</v>
      </c>
      <c r="E56" s="27">
        <v>2</v>
      </c>
      <c r="F56" s="101">
        <v>2</v>
      </c>
      <c r="G56" s="27">
        <v>2</v>
      </c>
      <c r="H56" s="27">
        <v>2</v>
      </c>
      <c r="I56" s="102">
        <v>1</v>
      </c>
      <c r="J56" s="27">
        <v>2</v>
      </c>
      <c r="K56" s="101">
        <v>2</v>
      </c>
      <c r="L56" s="27">
        <v>1</v>
      </c>
      <c r="M56" s="101">
        <v>2</v>
      </c>
      <c r="N56" s="27">
        <v>2</v>
      </c>
      <c r="O56" s="101">
        <v>2</v>
      </c>
      <c r="P56" s="27">
        <v>2</v>
      </c>
      <c r="Q56" s="101">
        <v>2</v>
      </c>
      <c r="R56" s="27">
        <v>2</v>
      </c>
      <c r="S56" s="27" t="s">
        <v>146</v>
      </c>
    </row>
    <row r="57" spans="1:19">
      <c r="A57" s="27" t="s">
        <v>890</v>
      </c>
      <c r="B57" s="27" t="s">
        <v>889</v>
      </c>
      <c r="C57" s="27">
        <v>2</v>
      </c>
      <c r="D57" s="101">
        <v>1</v>
      </c>
      <c r="E57" s="27">
        <v>2</v>
      </c>
      <c r="F57" s="101">
        <v>2</v>
      </c>
      <c r="G57" s="27">
        <v>2</v>
      </c>
      <c r="H57" s="27">
        <v>2</v>
      </c>
      <c r="I57" s="102">
        <v>1</v>
      </c>
      <c r="J57" s="27">
        <v>2</v>
      </c>
      <c r="K57" s="101">
        <v>2</v>
      </c>
      <c r="L57" s="27">
        <v>1</v>
      </c>
      <c r="M57" s="101">
        <v>2</v>
      </c>
      <c r="N57" s="27">
        <v>2</v>
      </c>
      <c r="O57" s="101">
        <v>2</v>
      </c>
      <c r="P57" s="27">
        <v>2</v>
      </c>
      <c r="Q57" s="101">
        <v>2</v>
      </c>
      <c r="R57" s="27">
        <v>2</v>
      </c>
      <c r="S57" s="27" t="s">
        <v>62</v>
      </c>
    </row>
    <row r="58" spans="1:19">
      <c r="A58" s="27" t="s">
        <v>1145</v>
      </c>
      <c r="B58" s="27" t="s">
        <v>1144</v>
      </c>
      <c r="C58" s="27">
        <v>2</v>
      </c>
      <c r="D58" s="101">
        <v>2</v>
      </c>
      <c r="E58" s="27">
        <v>2</v>
      </c>
      <c r="F58" s="101">
        <v>2</v>
      </c>
      <c r="G58" s="27">
        <v>2</v>
      </c>
      <c r="H58" s="27">
        <v>2</v>
      </c>
      <c r="I58" s="102">
        <v>2</v>
      </c>
      <c r="J58" s="27">
        <v>2</v>
      </c>
      <c r="K58" s="101">
        <v>2</v>
      </c>
      <c r="L58" s="27">
        <v>1</v>
      </c>
      <c r="M58" s="101">
        <v>2</v>
      </c>
      <c r="N58" s="27">
        <v>2</v>
      </c>
      <c r="O58" s="101">
        <v>2</v>
      </c>
      <c r="P58" s="27">
        <v>2</v>
      </c>
      <c r="Q58" s="101">
        <v>2</v>
      </c>
      <c r="R58" s="27">
        <v>2</v>
      </c>
      <c r="S58" s="27" t="s">
        <v>83</v>
      </c>
    </row>
    <row r="59" spans="1:19">
      <c r="A59" s="27" t="s">
        <v>1150</v>
      </c>
      <c r="B59" s="27" t="s">
        <v>1511</v>
      </c>
      <c r="C59" s="27">
        <v>2</v>
      </c>
      <c r="D59" s="101">
        <v>2</v>
      </c>
      <c r="E59" s="27">
        <v>2</v>
      </c>
      <c r="F59" s="101">
        <v>2</v>
      </c>
      <c r="G59" s="27">
        <v>2</v>
      </c>
      <c r="H59" s="27">
        <v>2</v>
      </c>
      <c r="I59" s="102">
        <v>2</v>
      </c>
      <c r="J59" s="27">
        <v>2</v>
      </c>
      <c r="K59" s="101">
        <v>2</v>
      </c>
      <c r="L59" s="27">
        <v>1</v>
      </c>
      <c r="M59" s="101">
        <v>2</v>
      </c>
      <c r="N59" s="27">
        <v>1</v>
      </c>
      <c r="O59" s="101">
        <v>2</v>
      </c>
      <c r="P59" s="27">
        <v>2</v>
      </c>
      <c r="Q59" s="101">
        <v>2</v>
      </c>
      <c r="R59" s="27">
        <v>2</v>
      </c>
      <c r="S59" s="27" t="s">
        <v>146</v>
      </c>
    </row>
    <row r="60" spans="1:19">
      <c r="A60" s="27" t="s">
        <v>1159</v>
      </c>
      <c r="B60" s="27" t="s">
        <v>1154</v>
      </c>
      <c r="C60" s="27">
        <v>2</v>
      </c>
      <c r="D60" s="101">
        <v>1</v>
      </c>
      <c r="E60" s="27">
        <v>2</v>
      </c>
      <c r="F60" s="101">
        <v>2</v>
      </c>
      <c r="G60" s="27">
        <v>2</v>
      </c>
      <c r="H60" s="27">
        <v>2</v>
      </c>
      <c r="I60" s="102">
        <v>1</v>
      </c>
      <c r="J60" s="27">
        <v>2</v>
      </c>
      <c r="K60" s="101">
        <v>2</v>
      </c>
      <c r="L60" s="27">
        <v>1</v>
      </c>
      <c r="M60" s="101">
        <v>2</v>
      </c>
      <c r="N60" s="27">
        <v>1</v>
      </c>
      <c r="O60" s="101">
        <v>2</v>
      </c>
      <c r="P60" s="27">
        <v>2</v>
      </c>
      <c r="Q60" s="101">
        <v>2</v>
      </c>
      <c r="R60" s="27">
        <v>2</v>
      </c>
      <c r="S60" s="27" t="s">
        <v>62</v>
      </c>
    </row>
    <row r="61" spans="1:19">
      <c r="A61" s="27" t="s">
        <v>870</v>
      </c>
      <c r="B61" s="27" t="s">
        <v>869</v>
      </c>
      <c r="C61" s="27">
        <v>2</v>
      </c>
      <c r="D61" s="101">
        <v>2</v>
      </c>
      <c r="E61" s="27">
        <v>2</v>
      </c>
      <c r="F61" s="101">
        <v>2</v>
      </c>
      <c r="G61" s="27">
        <v>2</v>
      </c>
      <c r="H61" s="27">
        <v>2</v>
      </c>
      <c r="I61" s="102">
        <v>2</v>
      </c>
      <c r="J61" s="27">
        <v>2</v>
      </c>
      <c r="K61" s="101">
        <v>2</v>
      </c>
      <c r="L61" s="27">
        <v>1</v>
      </c>
      <c r="M61" s="101">
        <v>2</v>
      </c>
      <c r="N61" s="27">
        <v>2</v>
      </c>
      <c r="O61" s="101">
        <v>2</v>
      </c>
      <c r="P61" s="27">
        <v>2</v>
      </c>
      <c r="Q61" s="101">
        <v>2</v>
      </c>
      <c r="R61" s="27">
        <v>2</v>
      </c>
      <c r="S61" s="27" t="s">
        <v>83</v>
      </c>
    </row>
    <row r="62" spans="1:19">
      <c r="A62" s="27" t="s">
        <v>877</v>
      </c>
      <c r="B62" s="27" t="s">
        <v>869</v>
      </c>
      <c r="C62" s="27">
        <v>2</v>
      </c>
      <c r="D62" s="101">
        <v>1</v>
      </c>
      <c r="E62" s="27">
        <v>2</v>
      </c>
      <c r="F62" s="101">
        <v>2</v>
      </c>
      <c r="G62" s="27">
        <v>1</v>
      </c>
      <c r="H62" s="27">
        <v>1</v>
      </c>
      <c r="I62" s="102">
        <v>1</v>
      </c>
      <c r="J62" s="27">
        <v>2</v>
      </c>
      <c r="K62" s="101">
        <v>2</v>
      </c>
      <c r="L62" s="27">
        <v>1</v>
      </c>
      <c r="M62" s="101">
        <v>2</v>
      </c>
      <c r="N62" s="27">
        <v>1</v>
      </c>
      <c r="O62" s="101">
        <v>2</v>
      </c>
      <c r="P62" s="27">
        <v>2</v>
      </c>
      <c r="Q62" s="101">
        <v>2</v>
      </c>
      <c r="R62" s="27">
        <v>2</v>
      </c>
      <c r="S62" s="27" t="s">
        <v>62</v>
      </c>
    </row>
    <row r="63" spans="1:19">
      <c r="A63" s="27" t="s">
        <v>917</v>
      </c>
      <c r="B63" s="34" t="s">
        <v>1512</v>
      </c>
      <c r="C63" s="27">
        <v>2</v>
      </c>
      <c r="D63" s="101">
        <v>2</v>
      </c>
      <c r="E63" s="27">
        <v>2</v>
      </c>
      <c r="F63" s="101">
        <v>2</v>
      </c>
      <c r="G63" s="27">
        <v>2</v>
      </c>
      <c r="H63" s="27">
        <v>2</v>
      </c>
      <c r="I63" s="102">
        <v>2</v>
      </c>
      <c r="J63" s="27">
        <v>2</v>
      </c>
      <c r="K63" s="101">
        <v>2</v>
      </c>
      <c r="L63" s="27">
        <v>1</v>
      </c>
      <c r="M63" s="101">
        <v>2</v>
      </c>
      <c r="N63" s="27">
        <v>2</v>
      </c>
      <c r="O63" s="101">
        <v>2</v>
      </c>
      <c r="P63" s="27">
        <v>2</v>
      </c>
      <c r="Q63" s="101">
        <v>2</v>
      </c>
      <c r="R63" s="27">
        <v>2</v>
      </c>
      <c r="S63" s="27" t="s">
        <v>83</v>
      </c>
    </row>
    <row r="64" spans="1:19">
      <c r="A64" s="27" t="s">
        <v>937</v>
      </c>
      <c r="B64" s="34" t="s">
        <v>936</v>
      </c>
      <c r="C64" s="27">
        <v>2</v>
      </c>
      <c r="D64" s="101">
        <v>2</v>
      </c>
      <c r="E64" s="27">
        <v>2</v>
      </c>
      <c r="F64" s="101">
        <v>2</v>
      </c>
      <c r="G64" s="27">
        <v>2</v>
      </c>
      <c r="H64" s="27">
        <v>2</v>
      </c>
      <c r="I64" s="102">
        <v>2</v>
      </c>
      <c r="J64" s="27">
        <v>2</v>
      </c>
      <c r="K64" s="101">
        <v>2</v>
      </c>
      <c r="L64" s="27">
        <v>1</v>
      </c>
      <c r="M64" s="101">
        <v>2</v>
      </c>
      <c r="N64" s="27">
        <v>2</v>
      </c>
      <c r="O64" s="101">
        <v>2</v>
      </c>
      <c r="P64" s="27">
        <v>2</v>
      </c>
      <c r="Q64" s="101">
        <v>2</v>
      </c>
      <c r="R64" s="27">
        <v>2</v>
      </c>
      <c r="S64" s="27" t="s">
        <v>83</v>
      </c>
    </row>
    <row r="65" spans="1:19">
      <c r="A65" s="27" t="s">
        <v>943</v>
      </c>
      <c r="B65" s="34" t="s">
        <v>936</v>
      </c>
      <c r="C65" s="27">
        <v>2</v>
      </c>
      <c r="D65" s="101">
        <v>1</v>
      </c>
      <c r="E65" s="27">
        <v>2</v>
      </c>
      <c r="F65" s="101">
        <v>2</v>
      </c>
      <c r="G65" s="27">
        <v>2</v>
      </c>
      <c r="H65" s="27">
        <v>2</v>
      </c>
      <c r="I65" s="102">
        <v>2</v>
      </c>
      <c r="J65" s="27">
        <v>1</v>
      </c>
      <c r="K65" s="101">
        <v>2</v>
      </c>
      <c r="L65" s="27">
        <v>1</v>
      </c>
      <c r="M65" s="101">
        <v>2</v>
      </c>
      <c r="N65" s="27">
        <v>2</v>
      </c>
      <c r="O65" s="101">
        <v>2</v>
      </c>
      <c r="P65" s="27">
        <v>2</v>
      </c>
      <c r="Q65" s="101">
        <v>2</v>
      </c>
      <c r="R65" s="27">
        <v>2</v>
      </c>
      <c r="S65" s="27" t="s">
        <v>62</v>
      </c>
    </row>
    <row r="66" spans="1:19">
      <c r="A66" s="27" t="s">
        <v>961</v>
      </c>
      <c r="B66" s="34" t="s">
        <v>936</v>
      </c>
      <c r="C66" s="27">
        <v>2</v>
      </c>
      <c r="D66" s="101">
        <v>1</v>
      </c>
      <c r="E66" s="27">
        <v>2</v>
      </c>
      <c r="F66" s="101">
        <v>2</v>
      </c>
      <c r="G66" s="27">
        <v>2</v>
      </c>
      <c r="H66" s="27">
        <v>2</v>
      </c>
      <c r="I66" s="102">
        <v>1</v>
      </c>
      <c r="J66" s="27">
        <v>2</v>
      </c>
      <c r="K66" s="101">
        <v>2</v>
      </c>
      <c r="L66" s="27">
        <v>1</v>
      </c>
      <c r="M66" s="101">
        <v>2</v>
      </c>
      <c r="N66" s="27">
        <v>2</v>
      </c>
      <c r="O66" s="101">
        <v>2</v>
      </c>
      <c r="P66" s="27">
        <v>2</v>
      </c>
      <c r="Q66" s="101">
        <v>2</v>
      </c>
      <c r="R66" s="27">
        <v>2</v>
      </c>
      <c r="S66" s="27" t="s">
        <v>62</v>
      </c>
    </row>
    <row r="67" spans="1:19">
      <c r="A67" s="27" t="s">
        <v>1450</v>
      </c>
      <c r="B67" s="27" t="s">
        <v>1449</v>
      </c>
      <c r="C67" s="27">
        <v>2</v>
      </c>
      <c r="D67" s="101">
        <v>1</v>
      </c>
      <c r="E67" s="27">
        <v>2</v>
      </c>
      <c r="F67" s="101">
        <v>2</v>
      </c>
      <c r="G67" s="27">
        <v>2</v>
      </c>
      <c r="H67" s="27">
        <v>2</v>
      </c>
      <c r="I67" s="102">
        <v>1</v>
      </c>
      <c r="J67" s="27">
        <v>2</v>
      </c>
      <c r="K67" s="101">
        <v>2</v>
      </c>
      <c r="L67" s="27">
        <v>1</v>
      </c>
      <c r="M67" s="101">
        <v>2</v>
      </c>
      <c r="N67" s="27">
        <v>1</v>
      </c>
      <c r="O67" s="101">
        <v>2</v>
      </c>
      <c r="P67" s="27">
        <v>2</v>
      </c>
      <c r="Q67" s="101">
        <v>2</v>
      </c>
      <c r="R67" s="27">
        <v>2</v>
      </c>
      <c r="S67" s="27" t="s">
        <v>62</v>
      </c>
    </row>
    <row r="68" spans="1:19">
      <c r="A68" s="27" t="s">
        <v>1016</v>
      </c>
      <c r="B68" s="27" t="s">
        <v>1453</v>
      </c>
      <c r="C68" s="27">
        <v>2</v>
      </c>
      <c r="D68" s="101">
        <v>1</v>
      </c>
      <c r="E68" s="27">
        <v>2</v>
      </c>
      <c r="F68" s="101">
        <v>2</v>
      </c>
      <c r="G68" s="27">
        <v>2</v>
      </c>
      <c r="H68" s="27">
        <v>2</v>
      </c>
      <c r="I68" s="102">
        <v>1</v>
      </c>
      <c r="J68" s="27">
        <v>2</v>
      </c>
      <c r="K68" s="101">
        <v>2</v>
      </c>
      <c r="L68" s="27">
        <v>1</v>
      </c>
      <c r="M68" s="101">
        <v>2</v>
      </c>
      <c r="N68" s="27">
        <v>2</v>
      </c>
      <c r="O68" s="101">
        <v>2</v>
      </c>
      <c r="P68" s="27">
        <v>2</v>
      </c>
      <c r="Q68" s="101">
        <v>2</v>
      </c>
      <c r="R68" s="27">
        <v>2</v>
      </c>
      <c r="S68" s="27" t="s">
        <v>62</v>
      </c>
    </row>
    <row r="69" spans="1:19">
      <c r="A69" s="27" t="s">
        <v>1022</v>
      </c>
      <c r="B69" s="27" t="s">
        <v>1453</v>
      </c>
      <c r="C69" s="27">
        <v>2</v>
      </c>
      <c r="D69" s="101">
        <v>1</v>
      </c>
      <c r="E69" s="27">
        <v>2</v>
      </c>
      <c r="F69" s="101">
        <v>2</v>
      </c>
      <c r="G69" s="27">
        <v>2</v>
      </c>
      <c r="H69" s="27">
        <v>2</v>
      </c>
      <c r="I69" s="102">
        <v>1</v>
      </c>
      <c r="J69" s="27">
        <v>2</v>
      </c>
      <c r="K69" s="101">
        <v>2</v>
      </c>
      <c r="L69" s="27">
        <v>1</v>
      </c>
      <c r="M69" s="101">
        <v>2</v>
      </c>
      <c r="N69" s="27">
        <v>2</v>
      </c>
      <c r="O69" s="101">
        <v>2</v>
      </c>
      <c r="P69" s="27">
        <v>2</v>
      </c>
      <c r="Q69" s="101">
        <v>2</v>
      </c>
      <c r="R69" s="27">
        <v>1</v>
      </c>
      <c r="S69" s="27" t="s">
        <v>62</v>
      </c>
    </row>
    <row r="70" spans="1:19">
      <c r="A70" s="27" t="s">
        <v>1039</v>
      </c>
      <c r="B70" s="27" t="s">
        <v>1038</v>
      </c>
      <c r="C70" s="27">
        <v>2</v>
      </c>
      <c r="D70" s="101">
        <v>1</v>
      </c>
      <c r="E70" s="27">
        <v>2</v>
      </c>
      <c r="F70" s="101">
        <v>2</v>
      </c>
      <c r="G70" s="27">
        <v>2</v>
      </c>
      <c r="H70" s="27">
        <v>2</v>
      </c>
      <c r="I70" s="102">
        <v>1</v>
      </c>
      <c r="J70" s="27">
        <v>2</v>
      </c>
      <c r="K70" s="101">
        <v>2</v>
      </c>
      <c r="L70" s="27">
        <v>1</v>
      </c>
      <c r="M70" s="101">
        <v>2</v>
      </c>
      <c r="N70" s="27">
        <v>1</v>
      </c>
      <c r="O70" s="101">
        <v>2</v>
      </c>
      <c r="P70" s="27">
        <v>2</v>
      </c>
      <c r="Q70" s="101">
        <v>2</v>
      </c>
      <c r="R70" s="27">
        <v>2</v>
      </c>
      <c r="S70" s="27" t="s">
        <v>62</v>
      </c>
    </row>
    <row r="71" spans="1:19">
      <c r="A71" s="27" t="s">
        <v>1045</v>
      </c>
      <c r="B71" s="27" t="s">
        <v>1456</v>
      </c>
      <c r="C71" s="27">
        <v>2</v>
      </c>
      <c r="D71" s="101">
        <v>1</v>
      </c>
      <c r="E71" s="27">
        <v>2</v>
      </c>
      <c r="F71" s="101">
        <v>2</v>
      </c>
      <c r="G71" s="27">
        <v>2</v>
      </c>
      <c r="H71" s="27">
        <v>2</v>
      </c>
      <c r="I71" s="102">
        <v>2</v>
      </c>
      <c r="J71" s="27">
        <v>2</v>
      </c>
      <c r="K71" s="101">
        <v>2</v>
      </c>
      <c r="L71" s="27">
        <v>1</v>
      </c>
      <c r="M71" s="101">
        <v>2</v>
      </c>
      <c r="N71" s="27">
        <v>2</v>
      </c>
      <c r="O71" s="101">
        <v>2</v>
      </c>
      <c r="P71" s="27">
        <v>2</v>
      </c>
      <c r="Q71" s="101">
        <v>2</v>
      </c>
      <c r="R71" s="27">
        <v>2</v>
      </c>
      <c r="S71" s="27" t="s">
        <v>62</v>
      </c>
    </row>
    <row r="72" spans="1:19">
      <c r="A72" s="27" t="s">
        <v>1051</v>
      </c>
      <c r="B72" s="27" t="s">
        <v>1050</v>
      </c>
      <c r="C72" s="27">
        <v>2</v>
      </c>
      <c r="D72" s="101">
        <v>2</v>
      </c>
      <c r="E72" s="27">
        <v>2</v>
      </c>
      <c r="F72" s="101">
        <v>2</v>
      </c>
      <c r="G72" s="27">
        <v>2</v>
      </c>
      <c r="H72" s="27">
        <v>2</v>
      </c>
      <c r="I72" s="102">
        <v>2</v>
      </c>
      <c r="J72" s="27">
        <v>2</v>
      </c>
      <c r="K72" s="101">
        <v>2</v>
      </c>
      <c r="L72" s="27">
        <v>1</v>
      </c>
      <c r="M72" s="101">
        <v>2</v>
      </c>
      <c r="N72" s="27">
        <v>2</v>
      </c>
      <c r="O72" s="101">
        <v>2</v>
      </c>
      <c r="P72" s="27">
        <v>2</v>
      </c>
      <c r="Q72" s="101">
        <v>2</v>
      </c>
      <c r="R72" s="27">
        <v>2</v>
      </c>
      <c r="S72" s="27" t="s">
        <v>83</v>
      </c>
    </row>
    <row r="73" spans="1:19">
      <c r="A73" s="27" t="s">
        <v>1057</v>
      </c>
      <c r="B73" s="27" t="s">
        <v>1457</v>
      </c>
      <c r="C73" s="27">
        <v>2</v>
      </c>
      <c r="D73" s="101">
        <v>1</v>
      </c>
      <c r="E73" s="27">
        <v>2</v>
      </c>
      <c r="F73" s="101">
        <v>2</v>
      </c>
      <c r="G73" s="27">
        <v>2</v>
      </c>
      <c r="H73" s="27">
        <v>2</v>
      </c>
      <c r="I73" s="102">
        <v>1</v>
      </c>
      <c r="J73" s="27">
        <v>1</v>
      </c>
      <c r="K73" s="101">
        <v>1</v>
      </c>
      <c r="L73" s="27">
        <v>1</v>
      </c>
      <c r="M73" s="101">
        <v>2</v>
      </c>
      <c r="N73" s="27">
        <v>2</v>
      </c>
      <c r="O73" s="101">
        <v>2</v>
      </c>
      <c r="P73" s="27">
        <v>2</v>
      </c>
      <c r="Q73" s="101">
        <v>2</v>
      </c>
      <c r="R73" s="27">
        <v>2</v>
      </c>
      <c r="S73" s="27" t="s">
        <v>110</v>
      </c>
    </row>
    <row r="74" spans="1:19">
      <c r="A74" s="27" t="s">
        <v>1458</v>
      </c>
      <c r="B74" s="27" t="s">
        <v>1062</v>
      </c>
      <c r="C74" s="27">
        <v>2</v>
      </c>
      <c r="D74" s="101">
        <v>1</v>
      </c>
      <c r="E74" s="27">
        <v>2</v>
      </c>
      <c r="F74" s="101">
        <v>2</v>
      </c>
      <c r="G74" s="27">
        <v>2</v>
      </c>
      <c r="H74" s="27">
        <v>2</v>
      </c>
      <c r="I74" s="102">
        <v>1</v>
      </c>
      <c r="J74" s="27">
        <v>2</v>
      </c>
      <c r="K74" s="101">
        <v>2</v>
      </c>
      <c r="L74" s="27">
        <v>1</v>
      </c>
      <c r="M74" s="101">
        <v>2</v>
      </c>
      <c r="N74" s="27">
        <v>2</v>
      </c>
      <c r="O74" s="101">
        <v>2</v>
      </c>
      <c r="P74" s="27">
        <v>2</v>
      </c>
      <c r="Q74" s="101">
        <v>2</v>
      </c>
      <c r="R74" s="27">
        <v>2</v>
      </c>
      <c r="S74" s="27" t="s">
        <v>62</v>
      </c>
    </row>
    <row r="75" spans="1:19">
      <c r="A75" s="27" t="s">
        <v>822</v>
      </c>
      <c r="B75" s="27" t="s">
        <v>1513</v>
      </c>
      <c r="C75" s="27">
        <v>2</v>
      </c>
      <c r="D75" s="101">
        <v>2</v>
      </c>
      <c r="E75" s="27">
        <v>2</v>
      </c>
      <c r="F75" s="101">
        <v>2</v>
      </c>
      <c r="G75" s="27">
        <v>2</v>
      </c>
      <c r="H75" s="27">
        <v>2</v>
      </c>
      <c r="I75" s="102">
        <v>2</v>
      </c>
      <c r="J75" s="27">
        <v>2</v>
      </c>
      <c r="K75" s="101">
        <v>2</v>
      </c>
      <c r="L75" s="27">
        <v>1</v>
      </c>
      <c r="M75" s="101">
        <v>2</v>
      </c>
      <c r="N75" s="27">
        <v>2</v>
      </c>
      <c r="O75" s="101">
        <v>2</v>
      </c>
      <c r="P75" s="27">
        <v>2</v>
      </c>
      <c r="Q75" s="101">
        <v>2</v>
      </c>
      <c r="R75" s="27">
        <v>2</v>
      </c>
      <c r="S75" s="27" t="s">
        <v>83</v>
      </c>
    </row>
    <row r="76" spans="1:19">
      <c r="A76" s="27" t="s">
        <v>829</v>
      </c>
      <c r="B76" s="27" t="s">
        <v>828</v>
      </c>
      <c r="C76" s="27">
        <v>2</v>
      </c>
      <c r="D76" s="101">
        <v>2</v>
      </c>
      <c r="E76" s="27">
        <v>2</v>
      </c>
      <c r="F76" s="101">
        <v>2</v>
      </c>
      <c r="G76" s="27">
        <v>2</v>
      </c>
      <c r="H76" s="27">
        <v>2</v>
      </c>
      <c r="I76" s="102">
        <v>2</v>
      </c>
      <c r="J76" s="27">
        <v>2</v>
      </c>
      <c r="K76" s="101">
        <v>2</v>
      </c>
      <c r="L76" s="27">
        <v>1</v>
      </c>
      <c r="M76" s="101">
        <v>2</v>
      </c>
      <c r="N76" s="27">
        <v>2</v>
      </c>
      <c r="O76" s="101">
        <v>2</v>
      </c>
      <c r="P76" s="27">
        <v>2</v>
      </c>
      <c r="Q76" s="101">
        <v>2</v>
      </c>
      <c r="R76" s="27">
        <v>2</v>
      </c>
      <c r="S76" s="27" t="s">
        <v>83</v>
      </c>
    </row>
    <row r="77" spans="1:19">
      <c r="A77" s="27" t="s">
        <v>1179</v>
      </c>
      <c r="B77" s="27" t="s">
        <v>1178</v>
      </c>
      <c r="C77" s="27">
        <v>2</v>
      </c>
      <c r="D77" s="101">
        <v>1</v>
      </c>
      <c r="E77" s="27">
        <v>2</v>
      </c>
      <c r="F77" s="101">
        <v>2</v>
      </c>
      <c r="G77" s="27">
        <v>2</v>
      </c>
      <c r="H77" s="27">
        <v>2</v>
      </c>
      <c r="I77" s="102">
        <v>1</v>
      </c>
      <c r="J77" s="27">
        <v>2</v>
      </c>
      <c r="K77" s="101">
        <v>2</v>
      </c>
      <c r="L77" s="27">
        <v>1</v>
      </c>
      <c r="M77" s="101">
        <v>2</v>
      </c>
      <c r="N77" s="27">
        <v>2</v>
      </c>
      <c r="O77" s="101">
        <v>1</v>
      </c>
      <c r="P77" s="27">
        <v>2</v>
      </c>
      <c r="Q77" s="101">
        <v>2</v>
      </c>
      <c r="R77" s="27">
        <v>2</v>
      </c>
      <c r="S77" s="27" t="s">
        <v>110</v>
      </c>
    </row>
    <row r="78" spans="1:19">
      <c r="A78" s="27" t="s">
        <v>1187</v>
      </c>
      <c r="B78" s="27" t="s">
        <v>1467</v>
      </c>
      <c r="C78" s="27">
        <v>2</v>
      </c>
      <c r="D78" s="101">
        <v>2</v>
      </c>
      <c r="E78" s="27">
        <v>2</v>
      </c>
      <c r="F78" s="101">
        <v>2</v>
      </c>
      <c r="G78" s="27">
        <v>2</v>
      </c>
      <c r="H78" s="27">
        <v>2</v>
      </c>
      <c r="I78" s="102">
        <v>1</v>
      </c>
      <c r="J78" s="27">
        <v>2</v>
      </c>
      <c r="K78" s="101">
        <v>2</v>
      </c>
      <c r="L78" s="27">
        <v>1</v>
      </c>
      <c r="M78" s="101">
        <v>2</v>
      </c>
      <c r="N78" s="27">
        <v>1</v>
      </c>
      <c r="O78" s="101">
        <v>1</v>
      </c>
      <c r="P78" s="27">
        <v>2</v>
      </c>
      <c r="Q78" s="101">
        <v>1</v>
      </c>
      <c r="R78" s="27">
        <v>2</v>
      </c>
      <c r="S78" s="27" t="s">
        <v>110</v>
      </c>
    </row>
    <row r="79" spans="1:19">
      <c r="A79" s="27" t="s">
        <v>1200</v>
      </c>
      <c r="B79" s="27" t="s">
        <v>1192</v>
      </c>
      <c r="C79" s="27">
        <v>2</v>
      </c>
      <c r="D79" s="101">
        <v>2</v>
      </c>
      <c r="E79" s="27">
        <v>2</v>
      </c>
      <c r="F79" s="101">
        <v>2</v>
      </c>
      <c r="G79" s="27">
        <v>2</v>
      </c>
      <c r="H79" s="27">
        <v>2</v>
      </c>
      <c r="I79" s="102">
        <v>2</v>
      </c>
      <c r="J79" s="27">
        <v>2</v>
      </c>
      <c r="K79" s="101">
        <v>2</v>
      </c>
      <c r="L79" s="27">
        <v>1</v>
      </c>
      <c r="M79" s="101">
        <v>2</v>
      </c>
      <c r="N79" s="27">
        <v>2</v>
      </c>
      <c r="O79" s="101">
        <v>2</v>
      </c>
      <c r="P79" s="27">
        <v>2</v>
      </c>
      <c r="Q79" s="101">
        <v>2</v>
      </c>
      <c r="R79" s="27">
        <v>2</v>
      </c>
      <c r="S79" s="27" t="s">
        <v>83</v>
      </c>
    </row>
    <row r="80" spans="1:19">
      <c r="A80" s="27" t="s">
        <v>1206</v>
      </c>
      <c r="B80" s="27" t="s">
        <v>1192</v>
      </c>
      <c r="C80" s="27">
        <v>2</v>
      </c>
      <c r="D80" s="101">
        <v>1</v>
      </c>
      <c r="E80" s="27">
        <v>2</v>
      </c>
      <c r="F80" s="101">
        <v>2</v>
      </c>
      <c r="G80" s="27">
        <v>2</v>
      </c>
      <c r="H80" s="27">
        <v>2</v>
      </c>
      <c r="I80" s="102">
        <v>2</v>
      </c>
      <c r="J80" s="27">
        <v>2</v>
      </c>
      <c r="K80" s="101">
        <v>2</v>
      </c>
      <c r="L80" s="27">
        <v>1</v>
      </c>
      <c r="M80" s="101">
        <v>2</v>
      </c>
      <c r="N80" s="27">
        <v>1</v>
      </c>
      <c r="O80" s="101">
        <v>2</v>
      </c>
      <c r="P80" s="27">
        <v>2</v>
      </c>
      <c r="Q80" s="101">
        <v>1</v>
      </c>
      <c r="R80" s="27">
        <v>2</v>
      </c>
      <c r="S80" s="27" t="s">
        <v>110</v>
      </c>
    </row>
    <row r="81" spans="1:19">
      <c r="A81" s="27" t="s">
        <v>1193</v>
      </c>
      <c r="B81" s="27" t="s">
        <v>1192</v>
      </c>
      <c r="C81" s="27">
        <v>2</v>
      </c>
      <c r="D81" s="101">
        <v>2</v>
      </c>
      <c r="E81" s="27">
        <v>2</v>
      </c>
      <c r="F81" s="101">
        <v>2</v>
      </c>
      <c r="G81" s="27">
        <v>2</v>
      </c>
      <c r="H81" s="27">
        <v>2</v>
      </c>
      <c r="I81" s="102">
        <v>1</v>
      </c>
      <c r="J81" s="27">
        <v>2</v>
      </c>
      <c r="K81" s="101">
        <v>1</v>
      </c>
      <c r="L81" s="27">
        <v>1</v>
      </c>
      <c r="M81" s="101">
        <v>2</v>
      </c>
      <c r="N81" s="27">
        <v>2</v>
      </c>
      <c r="O81" s="101">
        <v>2</v>
      </c>
      <c r="P81" s="27">
        <v>2</v>
      </c>
      <c r="Q81" s="101">
        <v>2</v>
      </c>
      <c r="R81" s="27">
        <v>2</v>
      </c>
      <c r="S81" s="27" t="s">
        <v>62</v>
      </c>
    </row>
    <row r="82" spans="1:19">
      <c r="A82" s="27" t="s">
        <v>1213</v>
      </c>
      <c r="B82" s="27" t="s">
        <v>1212</v>
      </c>
      <c r="C82" s="27">
        <v>2</v>
      </c>
      <c r="D82" s="101">
        <v>1</v>
      </c>
      <c r="E82" s="27">
        <v>2</v>
      </c>
      <c r="F82" s="101">
        <v>2</v>
      </c>
      <c r="G82" s="27">
        <v>1</v>
      </c>
      <c r="H82" s="27">
        <v>1</v>
      </c>
      <c r="I82" s="102">
        <v>2</v>
      </c>
      <c r="J82" s="27">
        <v>2</v>
      </c>
      <c r="K82" s="101">
        <v>1</v>
      </c>
      <c r="L82" s="27">
        <v>1</v>
      </c>
      <c r="M82" s="101">
        <v>2</v>
      </c>
      <c r="N82" s="27">
        <v>2</v>
      </c>
      <c r="O82" s="101">
        <v>2</v>
      </c>
      <c r="P82" s="27">
        <v>2</v>
      </c>
      <c r="Q82" s="101">
        <v>2</v>
      </c>
      <c r="R82" s="27">
        <v>2</v>
      </c>
      <c r="S82" s="27" t="s">
        <v>110</v>
      </c>
    </row>
    <row r="83" spans="1:19">
      <c r="A83" s="27" t="s">
        <v>1293</v>
      </c>
      <c r="B83" s="27" t="s">
        <v>1292</v>
      </c>
      <c r="C83" s="27">
        <v>2</v>
      </c>
      <c r="D83" s="101">
        <v>1</v>
      </c>
      <c r="E83" s="27">
        <v>2</v>
      </c>
      <c r="F83" s="101">
        <v>2</v>
      </c>
      <c r="G83" s="27">
        <v>2</v>
      </c>
      <c r="H83" s="27">
        <v>2</v>
      </c>
      <c r="I83" s="102">
        <v>2</v>
      </c>
      <c r="J83" s="27">
        <v>2</v>
      </c>
      <c r="K83" s="101">
        <v>2</v>
      </c>
      <c r="L83" s="27">
        <v>1</v>
      </c>
      <c r="M83" s="101">
        <v>2</v>
      </c>
      <c r="N83" s="27">
        <v>1</v>
      </c>
      <c r="O83" s="101">
        <v>2</v>
      </c>
      <c r="P83" s="27">
        <v>1</v>
      </c>
      <c r="Q83" s="101">
        <v>2</v>
      </c>
      <c r="R83" s="27">
        <v>2</v>
      </c>
      <c r="S83" s="27" t="s">
        <v>62</v>
      </c>
    </row>
    <row r="84" spans="1:19">
      <c r="A84" s="27" t="s">
        <v>1303</v>
      </c>
      <c r="B84" s="27" t="s">
        <v>1302</v>
      </c>
      <c r="C84" s="27">
        <v>2</v>
      </c>
      <c r="D84" s="101">
        <v>2</v>
      </c>
      <c r="E84" s="27">
        <v>2</v>
      </c>
      <c r="F84" s="101">
        <v>2</v>
      </c>
      <c r="G84" s="27">
        <v>2</v>
      </c>
      <c r="H84" s="27">
        <v>2</v>
      </c>
      <c r="I84" s="102">
        <v>1</v>
      </c>
      <c r="J84" s="27">
        <v>2</v>
      </c>
      <c r="K84" s="101">
        <v>2</v>
      </c>
      <c r="L84" s="27">
        <v>1</v>
      </c>
      <c r="M84" s="101">
        <v>2</v>
      </c>
      <c r="N84" s="27">
        <v>2</v>
      </c>
      <c r="O84" s="101">
        <v>1</v>
      </c>
      <c r="P84" s="27">
        <v>2</v>
      </c>
      <c r="Q84" s="101">
        <v>2</v>
      </c>
      <c r="R84" s="27">
        <v>2</v>
      </c>
      <c r="S84" s="27" t="s">
        <v>62</v>
      </c>
    </row>
    <row r="85" spans="1:19">
      <c r="A85" s="27" t="s">
        <v>1316</v>
      </c>
      <c r="B85" s="27" t="s">
        <v>1315</v>
      </c>
      <c r="C85" s="27">
        <v>2</v>
      </c>
      <c r="D85" s="101">
        <v>1</v>
      </c>
      <c r="E85" s="27">
        <v>2</v>
      </c>
      <c r="F85" s="101">
        <v>2</v>
      </c>
      <c r="G85" s="27">
        <v>2</v>
      </c>
      <c r="H85" s="27">
        <v>2</v>
      </c>
      <c r="I85" s="102">
        <v>2</v>
      </c>
      <c r="J85" s="27">
        <v>2</v>
      </c>
      <c r="K85" s="101">
        <v>2</v>
      </c>
      <c r="L85" s="27">
        <v>1</v>
      </c>
      <c r="M85" s="101">
        <v>2</v>
      </c>
      <c r="N85" s="27">
        <v>2</v>
      </c>
      <c r="O85" s="101">
        <v>2</v>
      </c>
      <c r="P85" s="27">
        <v>2</v>
      </c>
      <c r="Q85" s="101">
        <v>2</v>
      </c>
      <c r="R85" s="27">
        <v>2</v>
      </c>
      <c r="S85" s="27" t="s">
        <v>62</v>
      </c>
    </row>
    <row r="86" spans="1:19">
      <c r="A86" s="27" t="s">
        <v>1071</v>
      </c>
      <c r="B86" s="27" t="s">
        <v>1460</v>
      </c>
      <c r="C86" s="27">
        <v>2</v>
      </c>
      <c r="D86" s="101">
        <v>1</v>
      </c>
      <c r="E86" s="27">
        <v>2</v>
      </c>
      <c r="F86" s="101">
        <v>2</v>
      </c>
      <c r="G86" s="27">
        <v>2</v>
      </c>
      <c r="H86" s="27">
        <v>2</v>
      </c>
      <c r="I86" s="102">
        <v>1</v>
      </c>
      <c r="J86" s="27">
        <v>2</v>
      </c>
      <c r="K86" s="101">
        <v>2</v>
      </c>
      <c r="L86" s="27">
        <v>1</v>
      </c>
      <c r="M86" s="101">
        <v>2</v>
      </c>
      <c r="N86" s="27">
        <v>2</v>
      </c>
      <c r="O86" s="101">
        <v>1</v>
      </c>
      <c r="P86" s="27">
        <v>2</v>
      </c>
      <c r="Q86" s="101">
        <v>2</v>
      </c>
      <c r="R86" s="27">
        <v>2</v>
      </c>
      <c r="S86" s="27" t="s">
        <v>110</v>
      </c>
    </row>
    <row r="87" spans="1:19">
      <c r="A87" s="27" t="s">
        <v>1076</v>
      </c>
      <c r="B87" s="27" t="s">
        <v>1463</v>
      </c>
      <c r="C87" s="27">
        <v>2</v>
      </c>
      <c r="D87" s="101">
        <v>2</v>
      </c>
      <c r="E87" s="27">
        <v>2</v>
      </c>
      <c r="F87" s="101">
        <v>2</v>
      </c>
      <c r="G87" s="27">
        <v>2</v>
      </c>
      <c r="H87" s="27">
        <v>2</v>
      </c>
      <c r="I87" s="102">
        <v>1</v>
      </c>
      <c r="J87" s="27">
        <v>2</v>
      </c>
      <c r="K87" s="101">
        <v>2</v>
      </c>
      <c r="L87" s="27">
        <v>1</v>
      </c>
      <c r="M87" s="101">
        <v>2</v>
      </c>
      <c r="N87" s="27">
        <v>1</v>
      </c>
      <c r="O87" s="101">
        <v>2</v>
      </c>
      <c r="P87" s="27">
        <v>2</v>
      </c>
      <c r="Q87" s="101">
        <v>2</v>
      </c>
      <c r="R87" s="27">
        <v>2</v>
      </c>
      <c r="S87" s="27" t="s">
        <v>146</v>
      </c>
    </row>
    <row r="88" spans="1:19">
      <c r="A88" s="27" t="s">
        <v>1088</v>
      </c>
      <c r="B88" s="27" t="s">
        <v>1464</v>
      </c>
      <c r="C88" s="27">
        <v>2</v>
      </c>
      <c r="D88" s="101">
        <v>2</v>
      </c>
      <c r="E88" s="27">
        <v>2</v>
      </c>
      <c r="F88" s="101">
        <v>2</v>
      </c>
      <c r="G88" s="27">
        <v>2</v>
      </c>
      <c r="H88" s="27">
        <v>2</v>
      </c>
      <c r="I88" s="102">
        <v>1</v>
      </c>
      <c r="J88" s="27">
        <v>2</v>
      </c>
      <c r="K88" s="101">
        <v>2</v>
      </c>
      <c r="L88" s="27">
        <v>1</v>
      </c>
      <c r="M88" s="101">
        <v>2</v>
      </c>
      <c r="N88" s="27">
        <v>2</v>
      </c>
      <c r="O88" s="101">
        <v>2</v>
      </c>
      <c r="P88" s="27">
        <v>2</v>
      </c>
      <c r="Q88" s="101">
        <v>2</v>
      </c>
      <c r="R88" s="27">
        <v>2</v>
      </c>
      <c r="S88" s="27" t="s">
        <v>146</v>
      </c>
    </row>
    <row r="89" spans="1:19">
      <c r="A89" s="27" t="s">
        <v>1095</v>
      </c>
      <c r="B89" s="27" t="s">
        <v>1094</v>
      </c>
      <c r="C89" s="27">
        <v>2</v>
      </c>
      <c r="D89" s="101">
        <v>1</v>
      </c>
      <c r="E89" s="27">
        <v>2</v>
      </c>
      <c r="F89" s="101">
        <v>2</v>
      </c>
      <c r="G89" s="27">
        <v>2</v>
      </c>
      <c r="H89" s="27">
        <v>2</v>
      </c>
      <c r="I89" s="102">
        <v>1</v>
      </c>
      <c r="J89" s="27">
        <v>2</v>
      </c>
      <c r="K89" s="101">
        <v>2</v>
      </c>
      <c r="L89" s="27">
        <v>1</v>
      </c>
      <c r="M89" s="101">
        <v>2</v>
      </c>
      <c r="N89" s="27">
        <v>2</v>
      </c>
      <c r="O89" s="101">
        <v>2</v>
      </c>
      <c r="P89" s="27">
        <v>2</v>
      </c>
      <c r="Q89" s="101">
        <v>2</v>
      </c>
      <c r="R89" s="27">
        <v>2</v>
      </c>
      <c r="S89" s="27" t="s">
        <v>62</v>
      </c>
    </row>
    <row r="90" spans="1:19">
      <c r="A90" s="27" t="s">
        <v>1173</v>
      </c>
      <c r="B90" s="27" t="s">
        <v>1172</v>
      </c>
      <c r="C90" s="27">
        <v>2</v>
      </c>
      <c r="D90" s="101">
        <v>2</v>
      </c>
      <c r="E90" s="27">
        <v>2</v>
      </c>
      <c r="F90" s="101">
        <v>2</v>
      </c>
      <c r="G90" s="27">
        <v>2</v>
      </c>
      <c r="H90" s="27">
        <v>2</v>
      </c>
      <c r="I90" s="102">
        <v>1</v>
      </c>
      <c r="J90" s="27">
        <v>2</v>
      </c>
      <c r="K90" s="101">
        <v>2</v>
      </c>
      <c r="L90" s="27">
        <v>1</v>
      </c>
      <c r="M90" s="101">
        <v>2</v>
      </c>
      <c r="N90" s="27">
        <v>2</v>
      </c>
      <c r="O90" s="101">
        <v>2</v>
      </c>
      <c r="P90" s="27">
        <v>2</v>
      </c>
      <c r="Q90" s="101">
        <v>2</v>
      </c>
      <c r="R90" s="27">
        <v>2</v>
      </c>
      <c r="S90" s="27" t="s">
        <v>146</v>
      </c>
    </row>
    <row r="91" spans="1:19">
      <c r="A91" s="27" t="s">
        <v>1167</v>
      </c>
      <c r="B91" s="27" t="s">
        <v>1166</v>
      </c>
      <c r="C91" s="27">
        <v>2</v>
      </c>
      <c r="D91" s="101">
        <v>2</v>
      </c>
      <c r="E91" s="27">
        <v>2</v>
      </c>
      <c r="F91" s="101">
        <v>2</v>
      </c>
      <c r="G91" s="27">
        <v>2</v>
      </c>
      <c r="H91" s="27">
        <v>2</v>
      </c>
      <c r="I91" s="102">
        <v>2</v>
      </c>
      <c r="J91" s="27">
        <v>2</v>
      </c>
      <c r="K91" s="101">
        <v>2</v>
      </c>
      <c r="L91" s="27">
        <v>1</v>
      </c>
      <c r="M91" s="101">
        <v>2</v>
      </c>
      <c r="N91" s="27">
        <v>2</v>
      </c>
      <c r="O91" s="101">
        <v>2</v>
      </c>
      <c r="P91" s="27">
        <v>2</v>
      </c>
      <c r="Q91" s="101">
        <v>2</v>
      </c>
      <c r="R91" s="27">
        <v>2</v>
      </c>
      <c r="S91" s="27" t="s">
        <v>83</v>
      </c>
    </row>
    <row r="92" spans="1:19">
      <c r="A92" s="27" t="s">
        <v>1226</v>
      </c>
      <c r="B92" s="27" t="s">
        <v>1514</v>
      </c>
      <c r="C92" s="27">
        <v>2</v>
      </c>
      <c r="D92" s="101">
        <v>2</v>
      </c>
      <c r="E92" s="27">
        <v>2</v>
      </c>
      <c r="F92" s="101">
        <v>2</v>
      </c>
      <c r="G92" s="27">
        <v>2</v>
      </c>
      <c r="H92" s="27">
        <v>2</v>
      </c>
      <c r="I92" s="102">
        <v>2</v>
      </c>
      <c r="J92" s="27">
        <v>2</v>
      </c>
      <c r="K92" s="101">
        <v>2</v>
      </c>
      <c r="L92" s="27">
        <v>1</v>
      </c>
      <c r="M92" s="101">
        <v>2</v>
      </c>
      <c r="N92" s="27">
        <v>1</v>
      </c>
      <c r="O92" s="101">
        <v>2</v>
      </c>
      <c r="P92" s="27">
        <v>2</v>
      </c>
      <c r="Q92" s="101">
        <v>2</v>
      </c>
      <c r="R92" s="27">
        <v>2</v>
      </c>
      <c r="S92" s="27" t="s">
        <v>146</v>
      </c>
    </row>
    <row r="93" spans="1:19">
      <c r="A93" s="27" t="s">
        <v>1251</v>
      </c>
      <c r="B93" s="27" t="s">
        <v>1250</v>
      </c>
      <c r="C93" s="27">
        <v>2</v>
      </c>
      <c r="D93" s="101">
        <v>1</v>
      </c>
      <c r="E93" s="27">
        <v>2</v>
      </c>
      <c r="F93" s="101">
        <v>2</v>
      </c>
      <c r="G93" s="27">
        <v>2</v>
      </c>
      <c r="H93" s="27">
        <v>2</v>
      </c>
      <c r="I93" s="102">
        <v>1</v>
      </c>
      <c r="J93" s="27">
        <v>2</v>
      </c>
      <c r="K93" s="101">
        <v>2</v>
      </c>
      <c r="L93" s="27">
        <v>1</v>
      </c>
      <c r="M93" s="101">
        <v>2</v>
      </c>
      <c r="N93" s="27">
        <v>1</v>
      </c>
      <c r="O93" s="101">
        <v>2</v>
      </c>
      <c r="P93" s="27">
        <v>2</v>
      </c>
      <c r="Q93" s="101">
        <v>1</v>
      </c>
      <c r="R93" s="27">
        <v>2</v>
      </c>
      <c r="S93" s="27" t="s">
        <v>110</v>
      </c>
    </row>
    <row r="94" spans="1:19">
      <c r="A94" s="27" t="s">
        <v>1258</v>
      </c>
      <c r="B94" s="27" t="s">
        <v>1515</v>
      </c>
      <c r="C94" s="27">
        <v>2</v>
      </c>
      <c r="D94" s="101">
        <v>1</v>
      </c>
      <c r="E94" s="27">
        <v>2</v>
      </c>
      <c r="F94" s="101">
        <v>2</v>
      </c>
      <c r="G94" s="27">
        <v>2</v>
      </c>
      <c r="H94" s="27">
        <v>2</v>
      </c>
      <c r="I94" s="102">
        <v>2</v>
      </c>
      <c r="J94" s="27">
        <v>2</v>
      </c>
      <c r="K94" s="101">
        <v>1</v>
      </c>
      <c r="L94" s="27">
        <v>1</v>
      </c>
      <c r="M94" s="101">
        <v>2</v>
      </c>
      <c r="N94" s="27">
        <v>2</v>
      </c>
      <c r="O94" s="101">
        <v>2</v>
      </c>
      <c r="P94" s="27">
        <v>2</v>
      </c>
      <c r="Q94" s="101">
        <v>2</v>
      </c>
      <c r="R94" s="27">
        <v>2</v>
      </c>
      <c r="S94" s="27" t="s">
        <v>110</v>
      </c>
    </row>
    <row r="95" spans="1:19">
      <c r="A95" s="27" t="s">
        <v>1110</v>
      </c>
      <c r="B95" s="27" t="s">
        <v>1516</v>
      </c>
      <c r="C95" s="27">
        <v>2</v>
      </c>
      <c r="D95" s="101">
        <v>2</v>
      </c>
      <c r="E95" s="27">
        <v>2</v>
      </c>
      <c r="F95" s="101">
        <v>2</v>
      </c>
      <c r="G95" s="27">
        <v>2</v>
      </c>
      <c r="H95" s="27">
        <v>2</v>
      </c>
      <c r="I95" s="102">
        <v>1</v>
      </c>
      <c r="J95" s="27">
        <v>2</v>
      </c>
      <c r="K95" s="101">
        <v>2</v>
      </c>
      <c r="L95" s="27">
        <v>1</v>
      </c>
      <c r="M95" s="101">
        <v>2</v>
      </c>
      <c r="N95" s="27">
        <v>2</v>
      </c>
      <c r="O95" s="101">
        <v>2</v>
      </c>
      <c r="P95" s="27">
        <v>2</v>
      </c>
      <c r="Q95" s="101">
        <v>2</v>
      </c>
      <c r="R95" s="27">
        <v>1</v>
      </c>
      <c r="S95" s="27" t="s">
        <v>146</v>
      </c>
    </row>
    <row r="96" spans="1:19">
      <c r="A96" s="27" t="s">
        <v>1323</v>
      </c>
      <c r="B96" s="27" t="s">
        <v>1471</v>
      </c>
      <c r="C96" s="27">
        <v>2</v>
      </c>
      <c r="D96" s="101">
        <v>1</v>
      </c>
      <c r="E96" s="27">
        <v>2</v>
      </c>
      <c r="F96" s="101">
        <v>2</v>
      </c>
      <c r="G96" s="27">
        <v>2</v>
      </c>
      <c r="H96" s="27">
        <v>2</v>
      </c>
      <c r="I96" s="102">
        <v>2</v>
      </c>
      <c r="J96" s="27">
        <v>2</v>
      </c>
      <c r="K96" s="101">
        <v>2</v>
      </c>
      <c r="L96" s="27">
        <v>1</v>
      </c>
      <c r="M96" s="101">
        <v>2</v>
      </c>
      <c r="N96" s="27">
        <v>2</v>
      </c>
      <c r="O96" s="101">
        <v>2</v>
      </c>
      <c r="P96" s="27">
        <v>2</v>
      </c>
      <c r="Q96" s="101">
        <v>2</v>
      </c>
      <c r="R96" s="27">
        <v>2</v>
      </c>
      <c r="S96" s="27" t="s">
        <v>62</v>
      </c>
    </row>
    <row r="97" spans="1:19">
      <c r="A97" s="27" t="s">
        <v>1339</v>
      </c>
      <c r="B97" s="27" t="s">
        <v>1338</v>
      </c>
      <c r="C97" s="27">
        <v>2</v>
      </c>
      <c r="D97" s="101">
        <v>1</v>
      </c>
      <c r="E97" s="27">
        <v>2</v>
      </c>
      <c r="F97" s="101">
        <v>2</v>
      </c>
      <c r="G97" s="27">
        <v>2</v>
      </c>
      <c r="H97" s="27">
        <v>2</v>
      </c>
      <c r="I97" s="102">
        <v>1</v>
      </c>
      <c r="J97" s="27">
        <v>1</v>
      </c>
      <c r="K97" s="101">
        <v>2</v>
      </c>
      <c r="L97" s="27">
        <v>1</v>
      </c>
      <c r="M97" s="101">
        <v>2</v>
      </c>
      <c r="N97" s="27">
        <v>2</v>
      </c>
      <c r="O97" s="101">
        <v>2</v>
      </c>
      <c r="P97" s="27">
        <v>2</v>
      </c>
      <c r="Q97" s="101">
        <v>2</v>
      </c>
      <c r="R97" s="27">
        <v>1</v>
      </c>
      <c r="S97" s="27" t="s">
        <v>62</v>
      </c>
    </row>
    <row r="98" spans="1:19">
      <c r="A98" s="27" t="s">
        <v>1347</v>
      </c>
      <c r="B98" s="42" t="s">
        <v>1346</v>
      </c>
      <c r="C98" s="27">
        <v>2</v>
      </c>
      <c r="D98" s="101">
        <v>1</v>
      </c>
      <c r="E98" s="27">
        <v>2</v>
      </c>
      <c r="F98" s="101">
        <v>2</v>
      </c>
      <c r="G98" s="27">
        <v>2</v>
      </c>
      <c r="H98" s="27">
        <v>2</v>
      </c>
      <c r="I98" s="102">
        <v>1</v>
      </c>
      <c r="J98" s="27">
        <v>2</v>
      </c>
      <c r="K98" s="101">
        <v>2</v>
      </c>
      <c r="L98" s="27">
        <v>1</v>
      </c>
      <c r="M98" s="101">
        <v>2</v>
      </c>
      <c r="N98" s="27">
        <v>2</v>
      </c>
      <c r="O98" s="101">
        <v>2</v>
      </c>
      <c r="P98" s="27">
        <v>2</v>
      </c>
      <c r="Q98" s="101">
        <v>2</v>
      </c>
      <c r="R98" s="27">
        <v>2</v>
      </c>
      <c r="S98" s="27" t="s">
        <v>62</v>
      </c>
    </row>
    <row r="99" spans="1:19">
      <c r="A99" s="27" t="s">
        <v>1369</v>
      </c>
      <c r="B99" s="27" t="s">
        <v>1368</v>
      </c>
      <c r="C99" s="27">
        <v>2</v>
      </c>
      <c r="D99" s="101">
        <v>2</v>
      </c>
      <c r="E99" s="27">
        <v>2</v>
      </c>
      <c r="F99" s="101">
        <v>2</v>
      </c>
      <c r="G99" s="27">
        <v>2</v>
      </c>
      <c r="H99" s="27">
        <v>2</v>
      </c>
      <c r="I99" s="102">
        <v>1</v>
      </c>
      <c r="J99" s="27">
        <v>2</v>
      </c>
      <c r="K99" s="101">
        <v>2</v>
      </c>
      <c r="L99" s="27">
        <v>1</v>
      </c>
      <c r="M99" s="101">
        <v>2</v>
      </c>
      <c r="N99" s="27">
        <v>1</v>
      </c>
      <c r="O99" s="101">
        <v>2</v>
      </c>
      <c r="P99" s="27">
        <v>2</v>
      </c>
      <c r="Q99" s="101">
        <v>2</v>
      </c>
      <c r="R99" s="27">
        <v>2</v>
      </c>
      <c r="S99" s="27" t="s">
        <v>146</v>
      </c>
    </row>
    <row r="100" ht="13" customHeight="1" spans="1:19">
      <c r="A100" s="27" t="s">
        <v>1375</v>
      </c>
      <c r="B100" s="27" t="s">
        <v>1374</v>
      </c>
      <c r="C100" s="27">
        <v>2</v>
      </c>
      <c r="D100" s="101">
        <v>1</v>
      </c>
      <c r="E100" s="27">
        <v>2</v>
      </c>
      <c r="F100" s="101">
        <v>2</v>
      </c>
      <c r="G100" s="27">
        <v>2</v>
      </c>
      <c r="H100" s="27">
        <v>2</v>
      </c>
      <c r="I100" s="102">
        <v>1</v>
      </c>
      <c r="J100" s="27">
        <v>2</v>
      </c>
      <c r="K100" s="101">
        <v>2</v>
      </c>
      <c r="L100" s="27">
        <v>1</v>
      </c>
      <c r="M100" s="101">
        <v>2</v>
      </c>
      <c r="N100" s="27">
        <v>1</v>
      </c>
      <c r="O100" s="101">
        <v>2</v>
      </c>
      <c r="P100" s="27">
        <v>2</v>
      </c>
      <c r="Q100" s="101">
        <v>2</v>
      </c>
      <c r="R100" s="27">
        <v>2</v>
      </c>
      <c r="S100" s="27" t="s">
        <v>62</v>
      </c>
    </row>
    <row r="101" spans="1:19">
      <c r="A101" s="27" t="s">
        <v>1381</v>
      </c>
      <c r="B101" s="27" t="s">
        <v>1380</v>
      </c>
      <c r="C101" s="27">
        <v>2</v>
      </c>
      <c r="D101" s="101">
        <v>1</v>
      </c>
      <c r="E101" s="27">
        <v>2</v>
      </c>
      <c r="F101" s="101">
        <v>2</v>
      </c>
      <c r="G101" s="27">
        <v>2</v>
      </c>
      <c r="H101" s="27">
        <v>2</v>
      </c>
      <c r="I101" s="102">
        <v>2</v>
      </c>
      <c r="J101" s="27">
        <v>2</v>
      </c>
      <c r="K101" s="101">
        <v>2</v>
      </c>
      <c r="L101" s="27">
        <v>1</v>
      </c>
      <c r="M101" s="101">
        <v>2</v>
      </c>
      <c r="N101" s="27">
        <v>2</v>
      </c>
      <c r="O101" s="101">
        <v>2</v>
      </c>
      <c r="P101" s="27">
        <v>2</v>
      </c>
      <c r="Q101" s="101">
        <v>1</v>
      </c>
      <c r="R101" s="27">
        <v>2</v>
      </c>
      <c r="S101" s="27" t="s">
        <v>110</v>
      </c>
    </row>
  </sheetData>
  <autoFilter xmlns:etc="http://www.wps.cn/officeDocument/2017/etCustomData" ref="A1:S1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6"/>
  <sheetViews>
    <sheetView zoomScale="70" zoomScaleNormal="70" workbookViewId="0">
      <selection activeCell="A13" sqref="A13"/>
    </sheetView>
  </sheetViews>
  <sheetFormatPr defaultColWidth="8.69090909090909" defaultRowHeight="14"/>
  <cols>
    <col min="1" max="1" width="69.6090909090909" customWidth="1"/>
    <col min="2" max="2" width="22.3090909090909" customWidth="1"/>
    <col min="3" max="3" width="12" customWidth="1"/>
    <col min="4" max="4" width="47.7636363636364" customWidth="1"/>
    <col min="5" max="5" width="9.53636363636364" customWidth="1"/>
    <col min="6" max="7" width="9.76363636363636" customWidth="1"/>
    <col min="8" max="8" width="63.0727272727273" customWidth="1"/>
    <col min="9" max="9" width="9.84545454545455" style="63" customWidth="1"/>
    <col min="10" max="10" width="53.9181818181818" customWidth="1"/>
    <col min="11" max="11" width="10.9181818181818" customWidth="1"/>
    <col min="12" max="12" width="77.2272727272727" customWidth="1"/>
    <col min="13" max="13" width="16.8454545454545" customWidth="1"/>
    <col min="14" max="14" width="61.6909090909091" customWidth="1"/>
    <col min="15" max="15" width="10.5363636363636" customWidth="1"/>
    <col min="16" max="16" width="51.9181818181818" customWidth="1"/>
  </cols>
  <sheetData>
    <row r="1" spans="1:16">
      <c r="A1" s="20" t="s">
        <v>1517</v>
      </c>
      <c r="B1" s="64" t="s">
        <v>1518</v>
      </c>
      <c r="C1" s="20" t="s">
        <v>1519</v>
      </c>
      <c r="D1" s="20" t="s">
        <v>1520</v>
      </c>
      <c r="E1" s="20" t="s">
        <v>1521</v>
      </c>
      <c r="F1" s="64" t="s">
        <v>1522</v>
      </c>
      <c r="G1" s="64" t="s">
        <v>1523</v>
      </c>
      <c r="H1" s="64" t="s">
        <v>1524</v>
      </c>
      <c r="I1" s="65" t="s">
        <v>1523</v>
      </c>
      <c r="J1" s="64" t="s">
        <v>1525</v>
      </c>
      <c r="K1" s="64" t="s">
        <v>1523</v>
      </c>
      <c r="L1" s="64" t="s">
        <v>1526</v>
      </c>
      <c r="M1" s="64" t="s">
        <v>1523</v>
      </c>
      <c r="N1" t="s">
        <v>1527</v>
      </c>
      <c r="O1" s="64" t="s">
        <v>1523</v>
      </c>
      <c r="P1" t="s">
        <v>1528</v>
      </c>
    </row>
    <row r="2" ht="15" spans="1:16">
      <c r="A2" s="66" t="s">
        <v>1398</v>
      </c>
      <c r="B2" s="67"/>
      <c r="C2" s="66"/>
      <c r="D2" s="67"/>
      <c r="E2" s="67"/>
      <c r="F2" s="67"/>
      <c r="G2" s="67"/>
      <c r="H2" s="67"/>
      <c r="I2" s="68"/>
      <c r="J2" s="67"/>
      <c r="K2" s="67"/>
      <c r="L2" s="67"/>
      <c r="M2" s="67"/>
      <c r="N2" s="67"/>
    </row>
    <row r="3" spans="1:16">
      <c r="A3" s="48" t="s">
        <v>1399</v>
      </c>
      <c r="B3" s="69" t="s">
        <v>54</v>
      </c>
      <c r="C3" s="48">
        <v>2016</v>
      </c>
      <c r="D3" s="48" t="s">
        <v>1529</v>
      </c>
      <c r="E3" s="48" t="s">
        <v>1521</v>
      </c>
      <c r="F3" s="69"/>
      <c r="G3" s="69" t="s">
        <v>1530</v>
      </c>
      <c r="H3" s="69" t="s">
        <v>1531</v>
      </c>
      <c r="I3" s="70"/>
      <c r="J3" s="69"/>
      <c r="K3" s="69"/>
      <c r="L3" s="69"/>
    </row>
    <row r="4" spans="1:16">
      <c r="A4" t="s">
        <v>1399</v>
      </c>
      <c r="C4">
        <v>2010</v>
      </c>
      <c r="D4" t="s">
        <v>1532</v>
      </c>
      <c r="E4" t="s">
        <v>1521</v>
      </c>
      <c r="G4" t="s">
        <v>1533</v>
      </c>
      <c r="H4" t="s">
        <v>1534</v>
      </c>
    </row>
    <row r="5" spans="1:16">
      <c r="A5" t="s">
        <v>1399</v>
      </c>
      <c r="C5">
        <v>2023</v>
      </c>
      <c r="D5" t="s">
        <v>1535</v>
      </c>
      <c r="E5" t="s">
        <v>1521</v>
      </c>
      <c r="J5" t="s">
        <v>1536</v>
      </c>
    </row>
    <row r="6" spans="1:16">
      <c r="A6" t="s">
        <v>1399</v>
      </c>
      <c r="C6">
        <v>2018</v>
      </c>
      <c r="D6" t="s">
        <v>1537</v>
      </c>
      <c r="E6" t="s">
        <v>1521</v>
      </c>
      <c r="G6" t="s">
        <v>1538</v>
      </c>
      <c r="H6" t="s">
        <v>1539</v>
      </c>
    </row>
    <row r="7" spans="1:16">
      <c r="A7" s="48" t="s">
        <v>1399</v>
      </c>
      <c r="B7" s="48" t="s">
        <v>1540</v>
      </c>
      <c r="C7" s="48">
        <v>2020</v>
      </c>
      <c r="D7" s="48" t="s">
        <v>1541</v>
      </c>
      <c r="E7" s="48" t="s">
        <v>1521</v>
      </c>
      <c r="F7" s="48"/>
      <c r="G7" s="48"/>
      <c r="H7" s="48" t="s">
        <v>1542</v>
      </c>
      <c r="I7" s="71"/>
      <c r="J7" s="48" t="s">
        <v>1543</v>
      </c>
      <c r="K7" s="48"/>
      <c r="L7" s="48"/>
    </row>
    <row r="8" spans="1:16">
      <c r="A8" s="21" t="s">
        <v>1544</v>
      </c>
      <c r="B8" s="21"/>
      <c r="C8" s="21">
        <v>2025</v>
      </c>
      <c r="D8" s="21" t="s">
        <v>1545</v>
      </c>
      <c r="E8" s="21" t="s">
        <v>1521</v>
      </c>
      <c r="F8" s="21"/>
      <c r="G8" s="21" t="s">
        <v>1546</v>
      </c>
      <c r="H8" s="21" t="s">
        <v>1547</v>
      </c>
      <c r="I8" s="23"/>
      <c r="J8" s="21"/>
      <c r="K8" s="21"/>
      <c r="L8" s="21"/>
      <c r="M8" s="21"/>
      <c r="N8" s="21"/>
    </row>
    <row r="10" spans="1:16">
      <c r="E10" s="72"/>
    </row>
    <row r="11" spans="1:16">
      <c r="E11" s="72"/>
    </row>
    <row r="12" spans="1:16">
      <c r="A12" s="48" t="s">
        <v>75</v>
      </c>
      <c r="B12" s="48" t="s">
        <v>66</v>
      </c>
      <c r="C12" s="48">
        <v>2014</v>
      </c>
      <c r="D12" s="48" t="s">
        <v>1548</v>
      </c>
      <c r="E12" s="69" t="s">
        <v>1521</v>
      </c>
      <c r="F12" s="48"/>
      <c r="G12" s="48" t="s">
        <v>1530</v>
      </c>
      <c r="H12" s="48" t="s">
        <v>1549</v>
      </c>
      <c r="I12" s="71" t="s">
        <v>1530</v>
      </c>
      <c r="J12" s="48" t="s">
        <v>1550</v>
      </c>
      <c r="K12" s="48"/>
      <c r="L12" s="48"/>
    </row>
    <row r="13" spans="1:16">
      <c r="A13" s="73" t="s">
        <v>75</v>
      </c>
      <c r="B13" s="73"/>
      <c r="C13" s="73">
        <v>2021</v>
      </c>
      <c r="D13" s="73" t="s">
        <v>1551</v>
      </c>
      <c r="E13" s="73" t="s">
        <v>1521</v>
      </c>
      <c r="F13" s="73"/>
      <c r="G13" s="73"/>
      <c r="H13" s="73"/>
      <c r="J13" s="73"/>
      <c r="K13" s="73"/>
      <c r="L13" s="73"/>
    </row>
    <row r="14" spans="1:16">
      <c r="A14" s="48" t="s">
        <v>75</v>
      </c>
      <c r="B14" s="48" t="s">
        <v>76</v>
      </c>
      <c r="C14" s="48">
        <v>2021</v>
      </c>
      <c r="D14" s="48" t="s">
        <v>1552</v>
      </c>
      <c r="E14" s="48" t="s">
        <v>1521</v>
      </c>
      <c r="F14" s="48"/>
      <c r="G14" s="48" t="s">
        <v>1533</v>
      </c>
      <c r="H14" s="48" t="s">
        <v>1553</v>
      </c>
      <c r="I14" s="71"/>
      <c r="J14" s="48"/>
      <c r="K14" s="48"/>
      <c r="L14" s="48"/>
    </row>
    <row r="15" spans="1:16">
      <c r="A15" t="s">
        <v>75</v>
      </c>
      <c r="C15">
        <v>2011</v>
      </c>
      <c r="D15" t="s">
        <v>1554</v>
      </c>
      <c r="E15" t="s">
        <v>1521</v>
      </c>
      <c r="G15" t="s">
        <v>1538</v>
      </c>
      <c r="H15" t="s">
        <v>1555</v>
      </c>
    </row>
    <row r="16" spans="1:16">
      <c r="A16" s="21" t="s">
        <v>1556</v>
      </c>
      <c r="B16" s="21"/>
      <c r="C16" s="21">
        <v>2025</v>
      </c>
      <c r="D16" s="21" t="s">
        <v>1557</v>
      </c>
      <c r="E16" s="21" t="s">
        <v>1521</v>
      </c>
      <c r="F16" s="21"/>
      <c r="G16" s="21" t="s">
        <v>1538</v>
      </c>
      <c r="H16" s="21" t="s">
        <v>1558</v>
      </c>
      <c r="I16" s="23" t="s">
        <v>1533</v>
      </c>
      <c r="J16" s="21" t="s">
        <v>1559</v>
      </c>
      <c r="K16" s="21"/>
      <c r="L16" s="21"/>
      <c r="M16" s="21"/>
      <c r="N16" s="21"/>
    </row>
    <row r="17" spans="1:14">
      <c r="A17" s="21" t="s">
        <v>1556</v>
      </c>
      <c r="B17" s="21"/>
      <c r="C17" s="21">
        <v>2021</v>
      </c>
      <c r="D17" s="21" t="s">
        <v>1560</v>
      </c>
      <c r="E17" s="21" t="s">
        <v>1521</v>
      </c>
      <c r="F17" s="21"/>
      <c r="G17" s="21"/>
      <c r="H17" s="21"/>
      <c r="I17" s="23" t="s">
        <v>1538</v>
      </c>
      <c r="J17" s="21" t="s">
        <v>1536</v>
      </c>
      <c r="K17" s="21"/>
      <c r="L17" s="21"/>
      <c r="M17" s="21"/>
      <c r="N17" s="21"/>
    </row>
    <row r="19" spans="1:14">
      <c r="A19" t="s">
        <v>113</v>
      </c>
      <c r="C19">
        <v>2011</v>
      </c>
      <c r="D19" t="s">
        <v>1561</v>
      </c>
      <c r="E19" t="s">
        <v>1521</v>
      </c>
      <c r="G19" t="s">
        <v>1530</v>
      </c>
      <c r="H19" t="s">
        <v>1562</v>
      </c>
    </row>
    <row r="20" spans="1:14">
      <c r="A20" s="48" t="s">
        <v>113</v>
      </c>
      <c r="B20" s="74" t="s">
        <v>114</v>
      </c>
      <c r="C20" s="48">
        <v>2015</v>
      </c>
      <c r="D20" s="48" t="s">
        <v>1563</v>
      </c>
      <c r="E20" s="48" t="s">
        <v>1521</v>
      </c>
      <c r="F20" s="48"/>
      <c r="G20" s="48" t="s">
        <v>1533</v>
      </c>
      <c r="H20" s="48" t="s">
        <v>1564</v>
      </c>
      <c r="I20" s="71"/>
      <c r="J20" s="48"/>
      <c r="K20" s="48"/>
      <c r="L20" s="48"/>
      <c r="M20" s="48"/>
      <c r="N20" s="48"/>
    </row>
    <row r="21" spans="1:14">
      <c r="A21" t="s">
        <v>113</v>
      </c>
      <c r="B21" s="27"/>
      <c r="C21">
        <v>2016</v>
      </c>
      <c r="D21" t="s">
        <v>1565</v>
      </c>
      <c r="E21" t="s">
        <v>1521</v>
      </c>
      <c r="G21" t="s">
        <v>1538</v>
      </c>
      <c r="H21" t="s">
        <v>1566</v>
      </c>
      <c r="I21" s="42"/>
      <c r="J21" s="27"/>
    </row>
    <row r="22" spans="1:14">
      <c r="A22" t="s">
        <v>113</v>
      </c>
      <c r="C22">
        <v>2006</v>
      </c>
      <c r="D22" t="s">
        <v>1567</v>
      </c>
      <c r="E22" t="s">
        <v>1521</v>
      </c>
    </row>
    <row r="23" spans="1:14">
      <c r="A23" t="s">
        <v>113</v>
      </c>
      <c r="C23">
        <v>2013</v>
      </c>
      <c r="D23" t="s">
        <v>1568</v>
      </c>
      <c r="E23" t="s">
        <v>1521</v>
      </c>
      <c r="G23" t="s">
        <v>1546</v>
      </c>
      <c r="H23" t="s">
        <v>1569</v>
      </c>
    </row>
    <row r="24" spans="1:14">
      <c r="A24" t="s">
        <v>113</v>
      </c>
      <c r="C24">
        <v>2011</v>
      </c>
      <c r="D24" t="s">
        <v>1554</v>
      </c>
      <c r="E24" t="s">
        <v>1521</v>
      </c>
    </row>
    <row r="25" spans="1:14">
      <c r="A25" t="s">
        <v>113</v>
      </c>
      <c r="C25">
        <v>2022</v>
      </c>
      <c r="D25" t="s">
        <v>1570</v>
      </c>
      <c r="E25" t="s">
        <v>1521</v>
      </c>
    </row>
    <row r="26" spans="1:14">
      <c r="C26" s="72"/>
    </row>
    <row r="27" spans="1:14">
      <c r="A27" s="48" t="s">
        <v>1405</v>
      </c>
      <c r="B27" s="34" t="s">
        <v>104</v>
      </c>
      <c r="C27" s="48">
        <v>2016</v>
      </c>
      <c r="D27" s="48" t="s">
        <v>1565</v>
      </c>
      <c r="E27" s="48" t="s">
        <v>1521</v>
      </c>
      <c r="F27" s="48"/>
      <c r="G27" s="48"/>
      <c r="H27" s="48" t="s">
        <v>1571</v>
      </c>
      <c r="I27" s="75"/>
      <c r="J27" s="34"/>
      <c r="K27" s="48"/>
      <c r="L27" s="48"/>
      <c r="M27" s="48"/>
      <c r="N27" s="48"/>
    </row>
    <row r="29" spans="1:14">
      <c r="A29" t="s">
        <v>1407</v>
      </c>
      <c r="C29">
        <v>2018</v>
      </c>
      <c r="D29" t="s">
        <v>1537</v>
      </c>
      <c r="E29" t="s">
        <v>1521</v>
      </c>
      <c r="I29" s="63" t="s">
        <v>1530</v>
      </c>
      <c r="J29" t="s">
        <v>1572</v>
      </c>
    </row>
    <row r="30" spans="1:14">
      <c r="A30" t="s">
        <v>1407</v>
      </c>
      <c r="C30">
        <v>2017</v>
      </c>
      <c r="D30" t="s">
        <v>1573</v>
      </c>
      <c r="E30" t="s">
        <v>1521</v>
      </c>
      <c r="G30" t="s">
        <v>1530</v>
      </c>
      <c r="H30" t="s">
        <v>1574</v>
      </c>
    </row>
    <row r="31" spans="1:14">
      <c r="A31" s="48" t="s">
        <v>1407</v>
      </c>
      <c r="B31" s="48" t="s">
        <v>127</v>
      </c>
      <c r="C31" s="48">
        <v>2022</v>
      </c>
      <c r="D31" s="48" t="s">
        <v>1575</v>
      </c>
      <c r="E31" s="48" t="s">
        <v>1521</v>
      </c>
      <c r="F31" s="48"/>
      <c r="G31" s="48" t="s">
        <v>1533</v>
      </c>
      <c r="H31" s="48" t="s">
        <v>1576</v>
      </c>
      <c r="I31" s="71"/>
      <c r="J31" s="48"/>
      <c r="K31" s="48"/>
      <c r="L31" s="48"/>
    </row>
    <row r="32" spans="1:14">
      <c r="A32" t="s">
        <v>1407</v>
      </c>
      <c r="C32">
        <v>2009</v>
      </c>
      <c r="D32" t="s">
        <v>1577</v>
      </c>
      <c r="E32" t="s">
        <v>1521</v>
      </c>
      <c r="I32" s="63" t="s">
        <v>1533</v>
      </c>
      <c r="J32" t="s">
        <v>1578</v>
      </c>
    </row>
    <row r="33" spans="1:14">
      <c r="A33" t="s">
        <v>1407</v>
      </c>
      <c r="C33">
        <v>2016</v>
      </c>
      <c r="D33" t="s">
        <v>1579</v>
      </c>
      <c r="E33" t="s">
        <v>1521</v>
      </c>
      <c r="I33" s="63" t="s">
        <v>1538</v>
      </c>
      <c r="J33" t="s">
        <v>1580</v>
      </c>
    </row>
    <row r="34" spans="1:14">
      <c r="A34" t="s">
        <v>1407</v>
      </c>
      <c r="C34">
        <v>2023</v>
      </c>
      <c r="D34" t="s">
        <v>1535</v>
      </c>
      <c r="E34" t="s">
        <v>1521</v>
      </c>
      <c r="I34" s="63" t="s">
        <v>1546</v>
      </c>
      <c r="J34" t="s">
        <v>1555</v>
      </c>
    </row>
    <row r="35" spans="1:14">
      <c r="A35" t="s">
        <v>1407</v>
      </c>
      <c r="C35">
        <v>2022</v>
      </c>
      <c r="D35" t="s">
        <v>1570</v>
      </c>
      <c r="E35" t="s">
        <v>1521</v>
      </c>
      <c r="I35" s="63" t="s">
        <v>1581</v>
      </c>
      <c r="J35" t="s">
        <v>1572</v>
      </c>
    </row>
    <row r="36" spans="1:14">
      <c r="A36" t="s">
        <v>1407</v>
      </c>
      <c r="C36">
        <v>2008</v>
      </c>
      <c r="D36" t="s">
        <v>1582</v>
      </c>
      <c r="E36" t="s">
        <v>1521</v>
      </c>
      <c r="I36" s="63" t="s">
        <v>1583</v>
      </c>
      <c r="J36" t="s">
        <v>1584</v>
      </c>
    </row>
    <row r="37" spans="1:14">
      <c r="A37" s="48" t="s">
        <v>1407</v>
      </c>
      <c r="B37" s="48" t="s">
        <v>154</v>
      </c>
      <c r="C37" s="48">
        <v>2010</v>
      </c>
      <c r="D37" s="48" t="s">
        <v>1532</v>
      </c>
      <c r="E37" s="48" t="s">
        <v>1521</v>
      </c>
      <c r="F37" s="48"/>
      <c r="G37" s="48"/>
      <c r="H37" s="48"/>
      <c r="I37" s="71" t="s">
        <v>1585</v>
      </c>
      <c r="J37" s="48" t="s">
        <v>1586</v>
      </c>
      <c r="K37" s="48"/>
      <c r="L37" s="48"/>
      <c r="M37" s="48"/>
      <c r="N37" s="48"/>
    </row>
    <row r="38" spans="1:14">
      <c r="A38" t="s">
        <v>1407</v>
      </c>
      <c r="C38">
        <v>2021</v>
      </c>
      <c r="D38" t="s">
        <v>1587</v>
      </c>
      <c r="E38" t="s">
        <v>1521</v>
      </c>
      <c r="G38" t="s">
        <v>1538</v>
      </c>
      <c r="H38" t="s">
        <v>1588</v>
      </c>
    </row>
    <row r="39" spans="1:14">
      <c r="C39" s="72" t="s">
        <v>1589</v>
      </c>
    </row>
    <row r="41" spans="1:14">
      <c r="A41" s="48" t="s">
        <v>1590</v>
      </c>
      <c r="B41" s="48" t="s">
        <v>154</v>
      </c>
      <c r="C41" s="48">
        <v>2010</v>
      </c>
      <c r="D41" s="48" t="s">
        <v>1532</v>
      </c>
      <c r="E41" s="48" t="s">
        <v>1521</v>
      </c>
      <c r="F41" s="48"/>
      <c r="G41" s="48" t="s">
        <v>1530</v>
      </c>
      <c r="H41" s="48" t="s">
        <v>1591</v>
      </c>
      <c r="I41" s="71"/>
      <c r="J41" s="48"/>
      <c r="K41" s="48"/>
      <c r="L41" s="48"/>
      <c r="M41" s="48"/>
      <c r="N41" s="48"/>
    </row>
    <row r="42" spans="1:14">
      <c r="A42" t="s">
        <v>161</v>
      </c>
      <c r="C42">
        <v>2008</v>
      </c>
      <c r="D42" t="s">
        <v>1582</v>
      </c>
      <c r="E42" t="s">
        <v>1521</v>
      </c>
      <c r="G42" t="s">
        <v>1533</v>
      </c>
      <c r="H42" t="s">
        <v>1592</v>
      </c>
    </row>
    <row r="45" spans="1:14">
      <c r="A45" t="s">
        <v>1408</v>
      </c>
      <c r="C45">
        <v>2018</v>
      </c>
      <c r="D45" t="s">
        <v>1537</v>
      </c>
      <c r="E45" t="s">
        <v>1521</v>
      </c>
      <c r="G45" t="s">
        <v>1530</v>
      </c>
      <c r="H45" t="s">
        <v>1593</v>
      </c>
    </row>
    <row r="46" spans="1:14">
      <c r="A46" t="s">
        <v>1408</v>
      </c>
      <c r="C46">
        <v>2009</v>
      </c>
      <c r="D46" t="s">
        <v>1594</v>
      </c>
      <c r="E46" t="s">
        <v>1521</v>
      </c>
      <c r="G46" t="s">
        <v>1533</v>
      </c>
      <c r="H46" t="s">
        <v>1595</v>
      </c>
    </row>
    <row r="47" spans="1:14">
      <c r="A47" s="76" t="s">
        <v>1596</v>
      </c>
      <c r="B47" s="48" t="s">
        <v>1409</v>
      </c>
      <c r="C47" s="76">
        <v>2008</v>
      </c>
      <c r="D47" s="76" t="s">
        <v>1582</v>
      </c>
      <c r="E47" s="76" t="s">
        <v>1521</v>
      </c>
      <c r="F47" s="76"/>
      <c r="G47" s="76" t="s">
        <v>1538</v>
      </c>
      <c r="H47" s="76" t="s">
        <v>1534</v>
      </c>
      <c r="I47" s="77"/>
      <c r="J47" s="76"/>
      <c r="K47" s="76"/>
      <c r="L47" s="76"/>
      <c r="M47" s="76"/>
      <c r="N47" s="76"/>
    </row>
    <row r="48" spans="1:14">
      <c r="A48" s="48" t="s">
        <v>1408</v>
      </c>
      <c r="B48" s="48" t="s">
        <v>168</v>
      </c>
      <c r="C48" s="48">
        <v>2018</v>
      </c>
      <c r="D48" s="48" t="s">
        <v>1597</v>
      </c>
      <c r="E48" s="48" t="s">
        <v>1521</v>
      </c>
      <c r="F48" s="48"/>
      <c r="G48" s="48"/>
      <c r="H48" s="48"/>
      <c r="I48" s="71" t="s">
        <v>1530</v>
      </c>
      <c r="J48" s="48" t="s">
        <v>1598</v>
      </c>
      <c r="K48" s="48"/>
      <c r="L48" s="48"/>
    </row>
    <row r="49" spans="1:14">
      <c r="A49" s="48" t="s">
        <v>1408</v>
      </c>
      <c r="B49" s="48" t="s">
        <v>1540</v>
      </c>
      <c r="C49" s="48">
        <v>2020</v>
      </c>
      <c r="D49" s="48" t="s">
        <v>1541</v>
      </c>
      <c r="E49" s="48" t="s">
        <v>1521</v>
      </c>
      <c r="F49" s="48"/>
      <c r="G49" s="48"/>
      <c r="H49" s="48"/>
      <c r="I49" s="71" t="s">
        <v>1533</v>
      </c>
      <c r="J49" s="48" t="s">
        <v>1599</v>
      </c>
      <c r="K49" s="48"/>
      <c r="L49" s="48"/>
    </row>
    <row r="50" ht="15" spans="1:14">
      <c r="A50" s="21" t="s">
        <v>1600</v>
      </c>
      <c r="B50" s="21"/>
      <c r="C50" s="22">
        <v>2023</v>
      </c>
      <c r="D50" s="21" t="s">
        <v>1601</v>
      </c>
      <c r="E50" s="21" t="s">
        <v>1521</v>
      </c>
      <c r="F50" s="21"/>
      <c r="G50" s="21"/>
      <c r="H50" s="21"/>
      <c r="I50" s="23" t="s">
        <v>1538</v>
      </c>
      <c r="J50" s="21" t="s">
        <v>1602</v>
      </c>
      <c r="K50" s="21"/>
      <c r="L50" s="21"/>
      <c r="M50" s="21"/>
      <c r="N50" s="21"/>
    </row>
    <row r="51" ht="15" spans="1:14">
      <c r="C51" s="66"/>
    </row>
    <row r="53" spans="1:14">
      <c r="A53" s="48" t="s">
        <v>1603</v>
      </c>
      <c r="B53" s="48" t="s">
        <v>154</v>
      </c>
      <c r="C53" s="48">
        <v>2010</v>
      </c>
      <c r="D53" s="48" t="s">
        <v>1532</v>
      </c>
      <c r="E53" s="48" t="s">
        <v>1521</v>
      </c>
      <c r="F53" s="48"/>
      <c r="G53" s="48"/>
      <c r="H53" s="48"/>
      <c r="I53" s="71"/>
      <c r="J53" s="48"/>
      <c r="K53" s="48"/>
      <c r="L53" s="48"/>
      <c r="M53" s="48"/>
      <c r="N53" s="48"/>
    </row>
    <row r="57" spans="1:14">
      <c r="A57" t="s">
        <v>212</v>
      </c>
      <c r="B57" s="72"/>
      <c r="C57">
        <v>2010</v>
      </c>
      <c r="D57" t="s">
        <v>1532</v>
      </c>
      <c r="E57" t="s">
        <v>1521</v>
      </c>
      <c r="F57" s="72"/>
      <c r="G57" s="72"/>
      <c r="H57" s="72" t="s">
        <v>1604</v>
      </c>
      <c r="I57" s="78"/>
      <c r="J57" s="72"/>
      <c r="K57" s="72"/>
      <c r="L57" s="72"/>
    </row>
    <row r="58" spans="1:14">
      <c r="A58" s="48" t="s">
        <v>212</v>
      </c>
      <c r="B58" s="70" t="s">
        <v>168</v>
      </c>
      <c r="C58" s="48">
        <v>2018</v>
      </c>
      <c r="D58" s="48" t="s">
        <v>1597</v>
      </c>
      <c r="E58" s="48" t="s">
        <v>1521</v>
      </c>
      <c r="F58" s="70"/>
      <c r="G58" s="70"/>
      <c r="H58" s="70" t="s">
        <v>1605</v>
      </c>
      <c r="I58" s="70"/>
      <c r="J58" s="70"/>
      <c r="K58" s="70"/>
      <c r="L58" s="70"/>
    </row>
    <row r="59" spans="1:14">
      <c r="A59" t="s">
        <v>1606</v>
      </c>
      <c r="B59" s="72"/>
      <c r="C59">
        <v>2017</v>
      </c>
      <c r="D59" t="s">
        <v>1607</v>
      </c>
      <c r="E59" t="s">
        <v>1521</v>
      </c>
      <c r="F59" s="72"/>
      <c r="G59" s="72"/>
      <c r="H59" s="72"/>
      <c r="I59" s="78"/>
      <c r="J59" s="72"/>
      <c r="K59" s="72"/>
      <c r="L59" s="72"/>
    </row>
    <row r="60" ht="15" spans="1:14">
      <c r="C60" s="66"/>
    </row>
    <row r="61" ht="15" spans="1:14">
      <c r="A61" s="66"/>
      <c r="C61" s="66"/>
    </row>
    <row r="62" ht="15" spans="1:14">
      <c r="A62" s="67" t="s">
        <v>226</v>
      </c>
      <c r="C62">
        <v>2010</v>
      </c>
      <c r="D62" t="s">
        <v>1532</v>
      </c>
      <c r="E62" t="s">
        <v>1521</v>
      </c>
      <c r="H62" s="72" t="s">
        <v>1604</v>
      </c>
    </row>
    <row r="63" ht="15" spans="1:14">
      <c r="A63" s="79" t="s">
        <v>226</v>
      </c>
      <c r="B63" s="70" t="s">
        <v>168</v>
      </c>
      <c r="C63" s="48">
        <v>2018</v>
      </c>
      <c r="D63" s="48" t="s">
        <v>1597</v>
      </c>
      <c r="E63" s="48" t="s">
        <v>1521</v>
      </c>
      <c r="F63" s="48"/>
      <c r="G63" s="48"/>
      <c r="H63" s="48" t="s">
        <v>1608</v>
      </c>
      <c r="I63" s="71"/>
      <c r="J63" s="48"/>
      <c r="K63" s="48"/>
      <c r="L63" s="48"/>
      <c r="M63" s="48"/>
      <c r="N63" s="48"/>
    </row>
    <row r="64" ht="15" spans="1:14">
      <c r="A64" s="67" t="s">
        <v>226</v>
      </c>
      <c r="C64">
        <v>2017</v>
      </c>
      <c r="D64" t="s">
        <v>1607</v>
      </c>
      <c r="E64" t="s">
        <v>1521</v>
      </c>
      <c r="F64" s="72"/>
      <c r="G64" s="72"/>
      <c r="H64" s="72" t="s">
        <v>1609</v>
      </c>
    </row>
    <row r="65" ht="15" spans="1:12">
      <c r="A65" s="67"/>
      <c r="C65" s="66"/>
    </row>
    <row r="66" ht="15" spans="1:12">
      <c r="A66" s="66"/>
      <c r="C66" s="66"/>
    </row>
    <row r="67" ht="15" spans="1:12">
      <c r="A67" s="66" t="s">
        <v>237</v>
      </c>
      <c r="C67" s="66"/>
    </row>
    <row r="68" spans="1:12">
      <c r="A68" t="s">
        <v>1610</v>
      </c>
      <c r="C68">
        <v>2011</v>
      </c>
      <c r="D68" t="s">
        <v>1554</v>
      </c>
      <c r="E68" t="s">
        <v>1521</v>
      </c>
      <c r="G68" t="s">
        <v>1530</v>
      </c>
      <c r="H68" t="s">
        <v>1611</v>
      </c>
    </row>
    <row r="69" spans="1:12">
      <c r="A69" t="s">
        <v>1610</v>
      </c>
      <c r="C69">
        <v>2010</v>
      </c>
      <c r="D69" t="s">
        <v>1532</v>
      </c>
      <c r="E69" t="s">
        <v>1521</v>
      </c>
    </row>
    <row r="70" spans="1:12">
      <c r="A70" s="48" t="s">
        <v>1610</v>
      </c>
      <c r="B70" s="48" t="s">
        <v>240</v>
      </c>
      <c r="C70" s="48">
        <v>2019</v>
      </c>
      <c r="D70" s="48" t="s">
        <v>1612</v>
      </c>
      <c r="E70" s="48" t="s">
        <v>1521</v>
      </c>
      <c r="F70" s="48"/>
      <c r="G70" s="48" t="s">
        <v>1533</v>
      </c>
      <c r="H70" s="48" t="s">
        <v>1613</v>
      </c>
      <c r="I70" s="71"/>
      <c r="J70" s="48"/>
      <c r="K70" s="48"/>
      <c r="L70" s="48"/>
    </row>
    <row r="71" spans="1:12">
      <c r="A71" t="s">
        <v>1610</v>
      </c>
      <c r="C71">
        <v>2011</v>
      </c>
      <c r="D71" t="s">
        <v>1614</v>
      </c>
      <c r="E71" t="s">
        <v>1521</v>
      </c>
    </row>
    <row r="72" spans="1:12">
      <c r="A72" t="s">
        <v>1610</v>
      </c>
      <c r="B72" s="72"/>
      <c r="C72">
        <v>2014</v>
      </c>
      <c r="D72" t="s">
        <v>1615</v>
      </c>
      <c r="E72" s="72" t="s">
        <v>1521</v>
      </c>
      <c r="F72" s="72"/>
      <c r="G72" s="72"/>
      <c r="H72" s="72"/>
      <c r="I72" s="78"/>
      <c r="J72" s="72"/>
      <c r="K72" s="72"/>
      <c r="L72" s="72"/>
    </row>
    <row r="74" spans="1:12">
      <c r="A74" t="s">
        <v>1616</v>
      </c>
      <c r="C74">
        <v>2018</v>
      </c>
      <c r="D74" t="s">
        <v>1537</v>
      </c>
      <c r="E74" t="s">
        <v>1521</v>
      </c>
      <c r="G74" t="s">
        <v>1530</v>
      </c>
      <c r="H74" t="s">
        <v>1617</v>
      </c>
    </row>
    <row r="75" spans="1:12">
      <c r="A75" t="s">
        <v>1616</v>
      </c>
      <c r="C75">
        <v>2014</v>
      </c>
      <c r="D75" t="s">
        <v>1618</v>
      </c>
      <c r="E75" t="s">
        <v>1521</v>
      </c>
      <c r="I75" s="63" t="s">
        <v>1530</v>
      </c>
      <c r="J75" t="s">
        <v>1619</v>
      </c>
    </row>
    <row r="76" spans="1:12">
      <c r="A76" t="s">
        <v>1616</v>
      </c>
      <c r="C76">
        <v>2013</v>
      </c>
      <c r="D76" t="s">
        <v>1620</v>
      </c>
      <c r="E76" t="s">
        <v>1521</v>
      </c>
      <c r="I76" s="63" t="s">
        <v>1533</v>
      </c>
      <c r="J76" t="s">
        <v>1621</v>
      </c>
    </row>
    <row r="77" spans="1:12">
      <c r="A77" t="s">
        <v>1616</v>
      </c>
      <c r="C77">
        <v>2017</v>
      </c>
      <c r="D77" t="s">
        <v>1622</v>
      </c>
      <c r="E77" t="s">
        <v>1521</v>
      </c>
    </row>
    <row r="78" spans="1:12">
      <c r="A78" t="s">
        <v>1616</v>
      </c>
      <c r="C78">
        <v>2021</v>
      </c>
      <c r="D78" t="s">
        <v>1623</v>
      </c>
      <c r="E78" t="s">
        <v>1521</v>
      </c>
    </row>
    <row r="79" spans="1:12">
      <c r="A79" t="s">
        <v>1616</v>
      </c>
      <c r="C79">
        <v>2017</v>
      </c>
      <c r="D79" t="s">
        <v>1624</v>
      </c>
      <c r="E79" t="s">
        <v>1521</v>
      </c>
      <c r="I79" s="63" t="s">
        <v>1538</v>
      </c>
      <c r="J79" t="s">
        <v>1625</v>
      </c>
    </row>
    <row r="80" spans="1:12">
      <c r="A80" s="48" t="s">
        <v>1616</v>
      </c>
      <c r="B80" s="48" t="s">
        <v>255</v>
      </c>
      <c r="C80" s="48">
        <v>2020</v>
      </c>
      <c r="D80" s="48" t="s">
        <v>1626</v>
      </c>
      <c r="E80" s="48" t="s">
        <v>1521</v>
      </c>
      <c r="F80" s="48"/>
      <c r="G80" s="48" t="s">
        <v>1533</v>
      </c>
      <c r="H80" s="48" t="s">
        <v>1627</v>
      </c>
      <c r="I80" s="71"/>
      <c r="J80" s="48"/>
      <c r="K80" s="48"/>
      <c r="L80" s="48"/>
    </row>
    <row r="81" spans="1:14">
      <c r="A81" t="s">
        <v>1616</v>
      </c>
      <c r="C81">
        <v>2011</v>
      </c>
      <c r="D81" t="s">
        <v>1614</v>
      </c>
      <c r="E81" t="s">
        <v>1521</v>
      </c>
      <c r="I81" s="63" t="s">
        <v>1546</v>
      </c>
      <c r="J81" t="s">
        <v>1628</v>
      </c>
    </row>
    <row r="82" spans="1:14">
      <c r="A82" t="s">
        <v>1616</v>
      </c>
      <c r="C82">
        <v>2014</v>
      </c>
      <c r="D82" t="s">
        <v>1615</v>
      </c>
      <c r="E82" s="72" t="s">
        <v>1521</v>
      </c>
    </row>
    <row r="83" spans="1:14">
      <c r="A83" t="s">
        <v>1616</v>
      </c>
      <c r="C83">
        <v>2019</v>
      </c>
      <c r="D83" t="s">
        <v>1612</v>
      </c>
      <c r="E83" t="s">
        <v>1521</v>
      </c>
    </row>
    <row r="84" spans="1:14">
      <c r="A84" s="48" t="s">
        <v>1616</v>
      </c>
      <c r="B84" s="48" t="s">
        <v>248</v>
      </c>
      <c r="C84" s="48">
        <v>2024</v>
      </c>
      <c r="D84" s="48" t="s">
        <v>1629</v>
      </c>
      <c r="E84" s="48" t="s">
        <v>1521</v>
      </c>
      <c r="F84" s="48"/>
      <c r="G84" s="48"/>
      <c r="H84" s="48"/>
      <c r="I84" s="71" t="s">
        <v>1581</v>
      </c>
      <c r="J84" s="48" t="s">
        <v>1630</v>
      </c>
      <c r="K84" s="48"/>
      <c r="L84" s="48"/>
    </row>
    <row r="87" spans="1:14">
      <c r="A87" s="48" t="s">
        <v>1631</v>
      </c>
      <c r="B87" s="48" t="s">
        <v>263</v>
      </c>
      <c r="C87" s="48">
        <v>2022</v>
      </c>
      <c r="D87" s="48" t="s">
        <v>1632</v>
      </c>
      <c r="E87" s="48" t="s">
        <v>1521</v>
      </c>
      <c r="F87" s="48"/>
      <c r="G87" s="48"/>
      <c r="H87" s="48"/>
      <c r="I87" s="71" t="s">
        <v>1530</v>
      </c>
      <c r="J87" s="48" t="s">
        <v>1633</v>
      </c>
      <c r="K87" s="48"/>
      <c r="L87" s="48"/>
      <c r="M87" s="48"/>
      <c r="N87" s="48"/>
    </row>
    <row r="88" spans="1:14">
      <c r="A88" t="s">
        <v>1634</v>
      </c>
      <c r="B88" t="s">
        <v>1635</v>
      </c>
      <c r="C88">
        <v>2024</v>
      </c>
      <c r="D88" t="s">
        <v>1636</v>
      </c>
      <c r="E88" t="s">
        <v>1521</v>
      </c>
      <c r="G88" t="s">
        <v>1530</v>
      </c>
      <c r="H88" t="s">
        <v>1637</v>
      </c>
      <c r="I88" s="63" t="s">
        <v>1533</v>
      </c>
      <c r="J88" t="s">
        <v>1638</v>
      </c>
    </row>
    <row r="89" spans="1:14">
      <c r="A89" s="48" t="s">
        <v>1634</v>
      </c>
      <c r="B89" s="48" t="s">
        <v>278</v>
      </c>
      <c r="C89" s="48">
        <v>2023</v>
      </c>
      <c r="D89" s="48" t="s">
        <v>1639</v>
      </c>
      <c r="E89" s="48" t="s">
        <v>1521</v>
      </c>
      <c r="F89" s="48"/>
      <c r="G89" s="48" t="s">
        <v>1533</v>
      </c>
      <c r="H89" s="48" t="s">
        <v>1640</v>
      </c>
      <c r="I89" s="71"/>
      <c r="J89" s="48"/>
      <c r="K89" s="48"/>
      <c r="L89" s="48"/>
      <c r="M89" s="48"/>
      <c r="N89" s="48"/>
    </row>
    <row r="90" spans="1:14">
      <c r="A90" t="s">
        <v>1634</v>
      </c>
      <c r="B90" t="s">
        <v>1641</v>
      </c>
      <c r="C90">
        <v>2015</v>
      </c>
      <c r="D90" t="s">
        <v>1642</v>
      </c>
      <c r="E90" t="s">
        <v>1521</v>
      </c>
      <c r="G90" t="s">
        <v>1538</v>
      </c>
      <c r="H90" t="s">
        <v>1643</v>
      </c>
    </row>
    <row r="91" spans="1:14">
      <c r="A91" t="s">
        <v>1634</v>
      </c>
      <c r="B91" t="s">
        <v>1644</v>
      </c>
      <c r="C91">
        <v>2024</v>
      </c>
      <c r="D91" t="s">
        <v>1645</v>
      </c>
      <c r="E91" t="s">
        <v>1521</v>
      </c>
      <c r="I91" s="63" t="s">
        <v>1538</v>
      </c>
      <c r="J91" s="63" t="s">
        <v>1646</v>
      </c>
    </row>
    <row r="92" spans="1:14">
      <c r="A92" t="s">
        <v>1634</v>
      </c>
      <c r="B92" t="s">
        <v>1647</v>
      </c>
      <c r="C92">
        <v>2016</v>
      </c>
      <c r="D92" t="s">
        <v>1648</v>
      </c>
      <c r="E92" t="s">
        <v>1521</v>
      </c>
      <c r="I92" s="63" t="s">
        <v>1546</v>
      </c>
      <c r="J92" t="s">
        <v>1649</v>
      </c>
    </row>
    <row r="93" spans="1:14">
      <c r="A93" t="s">
        <v>1634</v>
      </c>
      <c r="C93">
        <v>2011</v>
      </c>
      <c r="D93" t="s">
        <v>1614</v>
      </c>
      <c r="E93" t="s">
        <v>1521</v>
      </c>
      <c r="I93" s="63" t="s">
        <v>1581</v>
      </c>
      <c r="J93" t="s">
        <v>1633</v>
      </c>
    </row>
    <row r="94" spans="1:14">
      <c r="A94" t="s">
        <v>1634</v>
      </c>
      <c r="C94">
        <v>2018</v>
      </c>
      <c r="D94" t="s">
        <v>1537</v>
      </c>
      <c r="E94" t="s">
        <v>1521</v>
      </c>
      <c r="G94" t="s">
        <v>1546</v>
      </c>
      <c r="H94" t="s">
        <v>1650</v>
      </c>
    </row>
    <row r="95" spans="1:14">
      <c r="A95" t="s">
        <v>1634</v>
      </c>
      <c r="C95">
        <v>2019</v>
      </c>
      <c r="D95" t="s">
        <v>1612</v>
      </c>
      <c r="E95" t="s">
        <v>1521</v>
      </c>
      <c r="G95" t="s">
        <v>1581</v>
      </c>
      <c r="H95" t="s">
        <v>1651</v>
      </c>
    </row>
    <row r="96" spans="1:14">
      <c r="A96" s="21" t="s">
        <v>1652</v>
      </c>
      <c r="B96" s="21"/>
      <c r="C96" s="21">
        <v>2025</v>
      </c>
      <c r="D96" s="21" t="s">
        <v>1653</v>
      </c>
      <c r="E96" s="21" t="s">
        <v>1521</v>
      </c>
      <c r="F96" s="21"/>
      <c r="G96" s="21"/>
      <c r="H96" s="21"/>
      <c r="I96" s="23"/>
      <c r="J96" s="21" t="s">
        <v>1654</v>
      </c>
      <c r="K96" s="21"/>
      <c r="L96" s="21"/>
      <c r="M96" s="21"/>
      <c r="N96" s="21"/>
    </row>
    <row r="98" spans="1:20">
      <c r="A98" t="s">
        <v>1655</v>
      </c>
      <c r="C98">
        <v>2021</v>
      </c>
      <c r="D98" t="s">
        <v>1656</v>
      </c>
      <c r="E98" t="s">
        <v>1521</v>
      </c>
      <c r="G98" t="s">
        <v>1530</v>
      </c>
      <c r="H98" t="s">
        <v>1643</v>
      </c>
      <c r="I98"/>
    </row>
    <row r="99" spans="1:20">
      <c r="A99" s="48" t="s">
        <v>1655</v>
      </c>
      <c r="B99" s="48" t="s">
        <v>285</v>
      </c>
      <c r="C99" s="48">
        <v>2018</v>
      </c>
      <c r="D99" s="48" t="s">
        <v>1657</v>
      </c>
      <c r="E99" s="48" t="s">
        <v>1521</v>
      </c>
      <c r="F99" s="48"/>
      <c r="G99" s="48" t="s">
        <v>1533</v>
      </c>
      <c r="H99" s="48" t="s">
        <v>1658</v>
      </c>
      <c r="I99" s="48" t="s">
        <v>1530</v>
      </c>
      <c r="J99" s="48" t="s">
        <v>1659</v>
      </c>
      <c r="K99" s="48"/>
      <c r="L99" s="48"/>
    </row>
    <row r="100" spans="1:20">
      <c r="A100" t="s">
        <v>1655</v>
      </c>
      <c r="C100">
        <v>2014</v>
      </c>
      <c r="D100" t="s">
        <v>1660</v>
      </c>
      <c r="E100" t="s">
        <v>1521</v>
      </c>
      <c r="I100" t="s">
        <v>1533</v>
      </c>
      <c r="J100" t="s">
        <v>1661</v>
      </c>
    </row>
    <row r="101" spans="1:20">
      <c r="A101" t="s">
        <v>1655</v>
      </c>
      <c r="C101">
        <v>2014</v>
      </c>
      <c r="D101" t="s">
        <v>1662</v>
      </c>
      <c r="E101" t="s">
        <v>1521</v>
      </c>
      <c r="G101" t="s">
        <v>1538</v>
      </c>
      <c r="H101" t="s">
        <v>1643</v>
      </c>
      <c r="I101"/>
    </row>
    <row r="102" spans="1:20">
      <c r="A102" t="s">
        <v>1655</v>
      </c>
      <c r="C102">
        <v>2019</v>
      </c>
      <c r="D102" t="s">
        <v>1612</v>
      </c>
      <c r="E102" t="s">
        <v>1521</v>
      </c>
      <c r="G102" t="s">
        <v>1546</v>
      </c>
      <c r="H102" t="s">
        <v>1663</v>
      </c>
      <c r="I102"/>
    </row>
    <row r="103" spans="1:20">
      <c r="A103" s="62" t="s">
        <v>1655</v>
      </c>
      <c r="B103" s="62"/>
      <c r="C103" s="62">
        <v>2011</v>
      </c>
      <c r="D103" s="62" t="s">
        <v>1614</v>
      </c>
      <c r="E103" s="62" t="s">
        <v>1521</v>
      </c>
      <c r="F103" s="62" t="s">
        <v>1664</v>
      </c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1:20">
      <c r="A104" s="21" t="s">
        <v>1665</v>
      </c>
      <c r="B104" s="21"/>
      <c r="C104" s="21">
        <v>2025</v>
      </c>
      <c r="D104" s="21" t="s">
        <v>1666</v>
      </c>
      <c r="E104" s="21" t="s">
        <v>1521</v>
      </c>
      <c r="F104" s="21"/>
      <c r="G104" s="21" t="s">
        <v>1581</v>
      </c>
      <c r="H104" s="21" t="s">
        <v>1643</v>
      </c>
      <c r="I104" s="23"/>
      <c r="J104" s="21"/>
      <c r="K104" s="21"/>
      <c r="L104" s="21"/>
      <c r="M104" s="21"/>
      <c r="N104" s="21"/>
    </row>
    <row r="107" spans="1:20">
      <c r="A107" s="48" t="s">
        <v>303</v>
      </c>
      <c r="B107" s="48" t="s">
        <v>297</v>
      </c>
      <c r="C107" s="48">
        <v>2011</v>
      </c>
      <c r="D107" s="48" t="s">
        <v>1614</v>
      </c>
      <c r="E107" s="48" t="s">
        <v>1521</v>
      </c>
      <c r="F107" s="48"/>
      <c r="G107" s="48"/>
      <c r="H107" s="48"/>
      <c r="I107" s="71"/>
      <c r="J107" s="48" t="s">
        <v>1667</v>
      </c>
      <c r="K107" s="48"/>
      <c r="L107" s="48"/>
    </row>
    <row r="108" spans="1:20">
      <c r="A108" t="s">
        <v>303</v>
      </c>
      <c r="C108">
        <v>2014</v>
      </c>
      <c r="D108" t="s">
        <v>1615</v>
      </c>
      <c r="E108" s="72" t="s">
        <v>1521</v>
      </c>
      <c r="J108" t="s">
        <v>1668</v>
      </c>
    </row>
    <row r="109" spans="1:20">
      <c r="A109" s="48" t="s">
        <v>303</v>
      </c>
      <c r="B109" s="48" t="s">
        <v>240</v>
      </c>
      <c r="C109" s="48">
        <v>2019</v>
      </c>
      <c r="D109" s="48" t="s">
        <v>1612</v>
      </c>
      <c r="E109" s="48" t="s">
        <v>1521</v>
      </c>
      <c r="F109" s="48"/>
      <c r="G109" s="48"/>
      <c r="H109" s="48" t="s">
        <v>1669</v>
      </c>
      <c r="I109" s="71"/>
      <c r="J109" s="48"/>
      <c r="K109" s="48"/>
      <c r="L109" s="48"/>
    </row>
    <row r="110" spans="1:20">
      <c r="A110" s="72"/>
    </row>
    <row r="111" spans="1:20">
      <c r="A111" s="48" t="s">
        <v>1670</v>
      </c>
      <c r="B111" s="48" t="s">
        <v>309</v>
      </c>
      <c r="C111" s="48">
        <v>2023</v>
      </c>
      <c r="D111" s="48" t="s">
        <v>1671</v>
      </c>
      <c r="E111" s="48" t="s">
        <v>1521</v>
      </c>
      <c r="F111" s="48"/>
      <c r="G111" s="48" t="s">
        <v>1530</v>
      </c>
      <c r="H111" s="48" t="s">
        <v>1672</v>
      </c>
      <c r="I111" s="71"/>
      <c r="J111" s="48"/>
      <c r="K111" s="48"/>
      <c r="L111" s="48"/>
    </row>
    <row r="112" spans="1:20">
      <c r="A112" t="s">
        <v>1670</v>
      </c>
      <c r="C112">
        <v>2011</v>
      </c>
      <c r="D112" t="s">
        <v>1614</v>
      </c>
      <c r="E112" t="s">
        <v>1521</v>
      </c>
      <c r="G112" t="s">
        <v>1533</v>
      </c>
      <c r="H112" t="s">
        <v>1673</v>
      </c>
    </row>
    <row r="114" spans="1:14">
      <c r="A114" s="48" t="s">
        <v>1674</v>
      </c>
      <c r="B114" s="48" t="s">
        <v>309</v>
      </c>
      <c r="C114" s="48">
        <v>2023</v>
      </c>
      <c r="D114" s="48" t="s">
        <v>1671</v>
      </c>
      <c r="E114" s="48" t="s">
        <v>1521</v>
      </c>
      <c r="F114" s="48"/>
      <c r="G114" s="48" t="s">
        <v>1530</v>
      </c>
      <c r="H114" s="48" t="s">
        <v>1675</v>
      </c>
      <c r="I114" s="71"/>
      <c r="J114" s="48"/>
      <c r="K114" s="48"/>
      <c r="L114" s="48"/>
    </row>
    <row r="115" spans="1:14">
      <c r="A115" t="s">
        <v>1674</v>
      </c>
      <c r="C115">
        <v>2011</v>
      </c>
      <c r="D115" t="s">
        <v>1614</v>
      </c>
      <c r="E115" t="s">
        <v>1521</v>
      </c>
      <c r="G115" t="s">
        <v>1533</v>
      </c>
      <c r="H115" t="s">
        <v>1672</v>
      </c>
    </row>
    <row r="117" spans="1:14">
      <c r="A117" s="48" t="s">
        <v>321</v>
      </c>
      <c r="B117" s="48" t="s">
        <v>297</v>
      </c>
      <c r="C117" s="48">
        <v>2011</v>
      </c>
      <c r="D117" s="48" t="s">
        <v>1614</v>
      </c>
      <c r="E117" s="48" t="s">
        <v>1521</v>
      </c>
      <c r="F117" s="48"/>
      <c r="G117" s="48" t="s">
        <v>1530</v>
      </c>
      <c r="H117" s="48" t="s">
        <v>1676</v>
      </c>
      <c r="I117" s="71"/>
      <c r="J117" s="48"/>
      <c r="K117" s="48"/>
      <c r="L117" s="48"/>
    </row>
    <row r="118" spans="1:14">
      <c r="A118" t="s">
        <v>321</v>
      </c>
      <c r="C118">
        <v>2018</v>
      </c>
      <c r="D118" t="s">
        <v>1677</v>
      </c>
      <c r="E118" t="s">
        <v>1521</v>
      </c>
      <c r="G118" t="s">
        <v>1533</v>
      </c>
      <c r="H118" t="s">
        <v>1678</v>
      </c>
    </row>
    <row r="119" spans="1:14">
      <c r="A119" s="72"/>
    </row>
    <row r="120" spans="1:14">
      <c r="A120" t="s">
        <v>327</v>
      </c>
      <c r="C120">
        <v>2014</v>
      </c>
      <c r="D120" t="s">
        <v>1615</v>
      </c>
      <c r="E120" s="72" t="s">
        <v>1521</v>
      </c>
      <c r="J120" t="s">
        <v>1679</v>
      </c>
    </row>
    <row r="121" spans="1:14">
      <c r="A121" s="48" t="s">
        <v>327</v>
      </c>
      <c r="B121" s="48" t="s">
        <v>240</v>
      </c>
      <c r="C121" s="48">
        <v>2019</v>
      </c>
      <c r="D121" s="48" t="s">
        <v>1612</v>
      </c>
      <c r="E121" s="48" t="s">
        <v>1521</v>
      </c>
      <c r="F121" s="48"/>
      <c r="G121" s="48"/>
      <c r="H121" s="48"/>
      <c r="I121" s="48" t="s">
        <v>1530</v>
      </c>
      <c r="J121" s="48" t="s">
        <v>1650</v>
      </c>
      <c r="K121" s="48"/>
      <c r="L121" s="48"/>
    </row>
    <row r="122" spans="1:14">
      <c r="A122" t="s">
        <v>327</v>
      </c>
      <c r="C122">
        <v>2011</v>
      </c>
      <c r="D122" t="s">
        <v>1680</v>
      </c>
      <c r="E122" t="s">
        <v>1521</v>
      </c>
      <c r="G122" s="63" t="s">
        <v>1530</v>
      </c>
      <c r="H122" t="s">
        <v>1672</v>
      </c>
      <c r="I122" t="s">
        <v>1533</v>
      </c>
      <c r="J122" t="s">
        <v>1650</v>
      </c>
      <c r="L122" s="63"/>
    </row>
    <row r="123" spans="1:14">
      <c r="A123" s="48" t="s">
        <v>327</v>
      </c>
      <c r="B123" s="48" t="s">
        <v>297</v>
      </c>
      <c r="C123" s="48">
        <v>2011</v>
      </c>
      <c r="D123" s="48" t="s">
        <v>1614</v>
      </c>
      <c r="E123" s="48" t="s">
        <v>1521</v>
      </c>
      <c r="F123" s="48"/>
      <c r="G123" s="71" t="s">
        <v>1533</v>
      </c>
      <c r="H123" s="48" t="s">
        <v>1681</v>
      </c>
      <c r="I123" s="71"/>
      <c r="J123" s="48"/>
      <c r="K123" s="48"/>
      <c r="L123" s="71"/>
      <c r="M123" s="48"/>
    </row>
    <row r="126" spans="1:14">
      <c r="A126" s="21" t="s">
        <v>1682</v>
      </c>
      <c r="B126" s="21" t="s">
        <v>337</v>
      </c>
      <c r="C126" s="21">
        <v>2025</v>
      </c>
      <c r="D126" s="21" t="s">
        <v>1683</v>
      </c>
      <c r="E126" s="21" t="s">
        <v>1521</v>
      </c>
      <c r="F126" s="21"/>
      <c r="G126" s="21"/>
      <c r="H126" s="21"/>
      <c r="I126" s="23"/>
      <c r="J126" s="21"/>
      <c r="K126" s="21"/>
      <c r="L126" s="21"/>
      <c r="M126" s="21"/>
      <c r="N126" s="21"/>
    </row>
    <row r="130" spans="1:20">
      <c r="A130" s="48" t="s">
        <v>349</v>
      </c>
      <c r="B130" s="74" t="s">
        <v>350</v>
      </c>
      <c r="C130" s="48">
        <v>2023</v>
      </c>
      <c r="D130" s="48" t="s">
        <v>1684</v>
      </c>
      <c r="E130" s="48" t="s">
        <v>1521</v>
      </c>
      <c r="F130" s="48"/>
      <c r="G130" s="48"/>
      <c r="H130" s="48"/>
      <c r="I130" s="71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</row>
    <row r="133" spans="1:20">
      <c r="A133" s="48" t="s">
        <v>1685</v>
      </c>
      <c r="B133" s="48" t="s">
        <v>357</v>
      </c>
      <c r="C133" s="48">
        <v>2020</v>
      </c>
      <c r="D133" s="48" t="s">
        <v>1686</v>
      </c>
      <c r="E133" s="48" t="s">
        <v>1521</v>
      </c>
      <c r="F133" s="48"/>
      <c r="G133" s="48"/>
      <c r="H133" s="48"/>
      <c r="I133" s="71"/>
      <c r="J133" s="48"/>
      <c r="K133" s="48"/>
      <c r="L133" s="48"/>
    </row>
    <row r="136" spans="1:20">
      <c r="A136" s="48" t="s">
        <v>380</v>
      </c>
      <c r="B136" s="48" t="s">
        <v>297</v>
      </c>
      <c r="C136" s="48">
        <v>2011</v>
      </c>
      <c r="D136" s="48" t="s">
        <v>1614</v>
      </c>
      <c r="E136" s="48" t="s">
        <v>1521</v>
      </c>
      <c r="F136" s="48"/>
      <c r="G136" s="71" t="s">
        <v>1530</v>
      </c>
      <c r="H136" s="48" t="s">
        <v>1687</v>
      </c>
      <c r="I136" s="71"/>
      <c r="J136" s="48"/>
      <c r="K136" s="48"/>
      <c r="L136" s="48"/>
    </row>
    <row r="137" spans="1:20">
      <c r="A137" t="s">
        <v>380</v>
      </c>
      <c r="C137">
        <v>2024</v>
      </c>
      <c r="D137" t="s">
        <v>1688</v>
      </c>
      <c r="E137" t="s">
        <v>1521</v>
      </c>
      <c r="G137" s="63" t="s">
        <v>1533</v>
      </c>
      <c r="H137" t="s">
        <v>1689</v>
      </c>
    </row>
    <row r="138" spans="1:20">
      <c r="A138" t="s">
        <v>380</v>
      </c>
      <c r="C138">
        <v>2014</v>
      </c>
      <c r="D138" t="s">
        <v>1615</v>
      </c>
      <c r="E138" s="72" t="s">
        <v>1521</v>
      </c>
      <c r="G138" s="63"/>
      <c r="H138" t="s">
        <v>1679</v>
      </c>
    </row>
    <row r="140" spans="1:20">
      <c r="A140" s="48" t="s">
        <v>362</v>
      </c>
      <c r="B140" s="48" t="s">
        <v>297</v>
      </c>
      <c r="C140" s="48">
        <v>2011</v>
      </c>
      <c r="D140" s="48" t="s">
        <v>1614</v>
      </c>
      <c r="E140" s="48" t="s">
        <v>1521</v>
      </c>
      <c r="F140" s="48"/>
      <c r="G140" s="48"/>
      <c r="H140" s="48"/>
      <c r="I140" s="71"/>
      <c r="J140" s="48"/>
      <c r="K140" s="48"/>
      <c r="L140" s="48"/>
    </row>
    <row r="141" spans="1:20">
      <c r="A141" t="s">
        <v>362</v>
      </c>
      <c r="C141">
        <v>2014</v>
      </c>
      <c r="D141" t="s">
        <v>1615</v>
      </c>
      <c r="E141" s="72" t="s">
        <v>1521</v>
      </c>
    </row>
    <row r="143" spans="1:20">
      <c r="A143" s="48" t="s">
        <v>367</v>
      </c>
      <c r="B143" s="48" t="s">
        <v>297</v>
      </c>
      <c r="C143" s="48">
        <v>2011</v>
      </c>
      <c r="D143" s="48" t="s">
        <v>1614</v>
      </c>
      <c r="E143" s="48" t="s">
        <v>1521</v>
      </c>
      <c r="F143" s="48"/>
      <c r="G143" s="48"/>
      <c r="H143" s="48"/>
      <c r="I143" s="71"/>
      <c r="J143" s="48"/>
      <c r="K143" s="48"/>
      <c r="L143" s="48"/>
    </row>
    <row r="145" spans="1:20">
      <c r="A145" s="48" t="s">
        <v>373</v>
      </c>
      <c r="B145" s="48" t="s">
        <v>297</v>
      </c>
      <c r="C145" s="48">
        <v>2011</v>
      </c>
      <c r="D145" s="48" t="s">
        <v>1614</v>
      </c>
      <c r="E145" s="48" t="s">
        <v>1521</v>
      </c>
      <c r="F145" s="48"/>
      <c r="G145" s="48"/>
      <c r="H145" s="48"/>
      <c r="I145" s="71"/>
      <c r="J145" s="48"/>
      <c r="K145" s="48"/>
      <c r="L145" s="48"/>
    </row>
    <row r="147" spans="1:20">
      <c r="A147" s="48" t="s">
        <v>404</v>
      </c>
      <c r="B147" s="48" t="s">
        <v>405</v>
      </c>
      <c r="C147" s="48">
        <v>2020</v>
      </c>
      <c r="D147" s="48" t="s">
        <v>1690</v>
      </c>
      <c r="E147" s="48" t="s">
        <v>1521</v>
      </c>
      <c r="F147" s="48"/>
      <c r="G147" s="71" t="s">
        <v>1530</v>
      </c>
      <c r="H147" s="48" t="s">
        <v>1691</v>
      </c>
      <c r="I147" s="71"/>
      <c r="J147" s="48"/>
      <c r="K147" s="48"/>
      <c r="L147" s="48"/>
    </row>
    <row r="148" spans="1:20">
      <c r="A148" t="s">
        <v>404</v>
      </c>
      <c r="C148">
        <v>2010</v>
      </c>
      <c r="D148" t="s">
        <v>1692</v>
      </c>
      <c r="E148" t="s">
        <v>1521</v>
      </c>
      <c r="G148" s="63" t="s">
        <v>1533</v>
      </c>
      <c r="H148" t="s">
        <v>1673</v>
      </c>
    </row>
    <row r="149" spans="1:20">
      <c r="A149" t="s">
        <v>404</v>
      </c>
      <c r="C149">
        <v>2011</v>
      </c>
      <c r="D149" t="s">
        <v>1614</v>
      </c>
      <c r="E149" t="s">
        <v>1521</v>
      </c>
      <c r="G149" s="63" t="s">
        <v>1538</v>
      </c>
      <c r="H149" t="s">
        <v>1693</v>
      </c>
    </row>
    <row r="150" spans="1:20">
      <c r="A150" s="72"/>
    </row>
    <row r="151" spans="1:20">
      <c r="A151" s="48" t="s">
        <v>391</v>
      </c>
      <c r="B151" s="48" t="s">
        <v>297</v>
      </c>
      <c r="C151" s="48">
        <v>2011</v>
      </c>
      <c r="D151" s="48" t="s">
        <v>1614</v>
      </c>
      <c r="E151" s="48" t="s">
        <v>1521</v>
      </c>
      <c r="F151" s="48"/>
      <c r="G151" s="48"/>
      <c r="H151" s="48"/>
      <c r="I151" s="71"/>
      <c r="J151" s="48"/>
      <c r="K151" s="48"/>
      <c r="L151" s="48"/>
    </row>
    <row r="152" spans="1:20">
      <c r="A152" s="72"/>
    </row>
    <row r="153" spans="1:20">
      <c r="A153" s="48" t="s">
        <v>1694</v>
      </c>
      <c r="B153" s="48" t="s">
        <v>297</v>
      </c>
      <c r="C153" s="48">
        <v>2011</v>
      </c>
      <c r="D153" s="48" t="s">
        <v>1614</v>
      </c>
      <c r="E153" s="48" t="s">
        <v>1521</v>
      </c>
      <c r="F153" s="48"/>
      <c r="G153" s="48"/>
      <c r="H153" s="48"/>
      <c r="I153" s="71"/>
      <c r="J153" s="48"/>
      <c r="K153" s="48"/>
      <c r="L153" s="48"/>
    </row>
    <row r="155" spans="1:20">
      <c r="A155" s="48" t="s">
        <v>397</v>
      </c>
      <c r="B155" s="48" t="s">
        <v>398</v>
      </c>
      <c r="C155" s="48">
        <v>2015</v>
      </c>
      <c r="D155" s="48" t="s">
        <v>1695</v>
      </c>
      <c r="E155" s="48" t="s">
        <v>1521</v>
      </c>
      <c r="F155" s="48"/>
      <c r="G155" s="71" t="s">
        <v>1530</v>
      </c>
      <c r="H155" s="48" t="s">
        <v>1696</v>
      </c>
      <c r="I155" s="71"/>
      <c r="J155" s="48"/>
      <c r="K155" s="48"/>
      <c r="L155" s="48"/>
    </row>
    <row r="156" spans="1:20">
      <c r="A156" t="s">
        <v>397</v>
      </c>
      <c r="C156">
        <v>2011</v>
      </c>
      <c r="D156" t="s">
        <v>1614</v>
      </c>
      <c r="E156" t="s">
        <v>1521</v>
      </c>
      <c r="G156" s="63" t="s">
        <v>1533</v>
      </c>
      <c r="H156" t="s">
        <v>1697</v>
      </c>
    </row>
    <row r="157" spans="1:20">
      <c r="A157" t="s">
        <v>397</v>
      </c>
      <c r="C157">
        <v>2022</v>
      </c>
      <c r="D157" t="s">
        <v>1698</v>
      </c>
      <c r="E157" t="s">
        <v>1521</v>
      </c>
      <c r="G157" s="63" t="s">
        <v>1538</v>
      </c>
      <c r="H157" t="s">
        <v>1691</v>
      </c>
    </row>
    <row r="158" spans="1:20">
      <c r="A158" t="s">
        <v>397</v>
      </c>
      <c r="C158">
        <v>2019</v>
      </c>
      <c r="D158" t="s">
        <v>1699</v>
      </c>
      <c r="E158" t="s">
        <v>1521</v>
      </c>
      <c r="G158" s="63" t="s">
        <v>1546</v>
      </c>
      <c r="H158" t="s">
        <v>1700</v>
      </c>
    </row>
    <row r="160" spans="1:20">
      <c r="A160" s="48" t="s">
        <v>423</v>
      </c>
      <c r="B160" s="48" t="s">
        <v>424</v>
      </c>
      <c r="C160" s="48">
        <v>2023</v>
      </c>
      <c r="D160" s="48" t="s">
        <v>1701</v>
      </c>
      <c r="E160" s="48" t="s">
        <v>1521</v>
      </c>
      <c r="F160" s="48"/>
      <c r="G160" s="71" t="s">
        <v>1530</v>
      </c>
      <c r="H160" s="48" t="s">
        <v>1702</v>
      </c>
      <c r="I160" s="71"/>
      <c r="J160" s="48" t="s">
        <v>1703</v>
      </c>
      <c r="K160" s="71"/>
      <c r="L160" s="48"/>
      <c r="M160" s="48"/>
      <c r="N160" s="48"/>
      <c r="O160" s="48"/>
      <c r="P160" s="48"/>
      <c r="Q160" s="48"/>
      <c r="R160" s="48"/>
      <c r="S160" s="48"/>
      <c r="T160" s="48"/>
    </row>
    <row r="161" spans="1:20">
      <c r="A161" t="s">
        <v>423</v>
      </c>
      <c r="C161">
        <v>2022</v>
      </c>
      <c r="D161" t="s">
        <v>1698</v>
      </c>
      <c r="E161" t="s">
        <v>1521</v>
      </c>
      <c r="G161" s="63" t="s">
        <v>1533</v>
      </c>
      <c r="H161" t="s">
        <v>1693</v>
      </c>
      <c r="K161" s="63"/>
    </row>
    <row r="162" spans="1:20">
      <c r="A162" t="s">
        <v>423</v>
      </c>
      <c r="C162">
        <v>2011</v>
      </c>
      <c r="D162" t="s">
        <v>1614</v>
      </c>
      <c r="E162" t="s">
        <v>1521</v>
      </c>
      <c r="G162" s="63" t="s">
        <v>1533</v>
      </c>
      <c r="H162" t="s">
        <v>1704</v>
      </c>
      <c r="K162" s="63"/>
    </row>
    <row r="164" spans="1:20">
      <c r="A164" s="48" t="s">
        <v>412</v>
      </c>
      <c r="B164" s="48" t="s">
        <v>418</v>
      </c>
      <c r="C164" s="48">
        <v>2022</v>
      </c>
      <c r="D164" s="48" t="s">
        <v>1698</v>
      </c>
      <c r="E164" s="48" t="s">
        <v>1521</v>
      </c>
      <c r="F164" s="48"/>
      <c r="G164" s="71" t="s">
        <v>1530</v>
      </c>
      <c r="H164" s="48" t="s">
        <v>1705</v>
      </c>
      <c r="I164" s="48" t="s">
        <v>1530</v>
      </c>
      <c r="J164" s="48" t="s">
        <v>1706</v>
      </c>
      <c r="K164" s="48"/>
      <c r="L164" s="48"/>
      <c r="M164" s="48"/>
      <c r="N164" s="48"/>
      <c r="O164" s="48"/>
      <c r="P164" s="48"/>
      <c r="Q164" s="48"/>
      <c r="R164" s="48"/>
      <c r="S164" s="48"/>
      <c r="T164" s="48"/>
    </row>
    <row r="165" spans="1:20">
      <c r="A165" s="48" t="s">
        <v>412</v>
      </c>
      <c r="B165" s="48" t="s">
        <v>297</v>
      </c>
      <c r="C165" s="48">
        <v>2011</v>
      </c>
      <c r="D165" s="48" t="s">
        <v>1614</v>
      </c>
      <c r="E165" s="48" t="s">
        <v>1521</v>
      </c>
      <c r="F165" s="48"/>
      <c r="G165" s="71" t="s">
        <v>1533</v>
      </c>
      <c r="H165" s="48" t="s">
        <v>1707</v>
      </c>
      <c r="I165" s="48"/>
      <c r="J165" s="48"/>
      <c r="K165" s="48"/>
      <c r="L165" s="48"/>
    </row>
    <row r="166" spans="1:20">
      <c r="A166" t="s">
        <v>412</v>
      </c>
      <c r="C166">
        <v>2019</v>
      </c>
      <c r="D166" t="s">
        <v>1612</v>
      </c>
      <c r="E166" t="s">
        <v>1521</v>
      </c>
      <c r="I166" t="s">
        <v>1533</v>
      </c>
      <c r="J166" t="s">
        <v>1708</v>
      </c>
    </row>
    <row r="168" ht="17.5" spans="1:20">
      <c r="A168" s="80"/>
      <c r="B168" s="73"/>
      <c r="C168" s="80"/>
      <c r="D168" s="73"/>
      <c r="E168" s="73"/>
      <c r="F168" s="73"/>
      <c r="G168" s="73"/>
      <c r="H168" s="73"/>
      <c r="J168" s="73"/>
      <c r="K168" s="73"/>
      <c r="L168" s="73"/>
    </row>
    <row r="169" ht="17.5" spans="1:20">
      <c r="A169" s="80" t="s">
        <v>1709</v>
      </c>
      <c r="B169" s="73"/>
      <c r="C169" s="80"/>
      <c r="D169" s="73"/>
      <c r="E169" s="73"/>
      <c r="F169" s="73"/>
      <c r="G169" s="73"/>
      <c r="H169" s="73"/>
      <c r="J169" s="73"/>
      <c r="K169" s="73"/>
      <c r="L169" s="73"/>
    </row>
    <row r="170" spans="1:20">
      <c r="A170" s="73" t="s">
        <v>1425</v>
      </c>
      <c r="B170" s="73"/>
      <c r="C170" s="73">
        <v>2015</v>
      </c>
      <c r="D170" s="73" t="s">
        <v>1710</v>
      </c>
      <c r="E170" s="73" t="s">
        <v>1521</v>
      </c>
      <c r="F170" s="73"/>
      <c r="G170" s="73" t="s">
        <v>1530</v>
      </c>
      <c r="H170" s="73" t="s">
        <v>1711</v>
      </c>
      <c r="J170" s="73"/>
      <c r="K170" s="73"/>
      <c r="L170" s="73"/>
    </row>
    <row r="171" spans="1:20">
      <c r="A171" s="73" t="s">
        <v>1425</v>
      </c>
      <c r="B171" s="73"/>
      <c r="C171" s="73">
        <v>2020</v>
      </c>
      <c r="D171" s="73" t="s">
        <v>1712</v>
      </c>
      <c r="E171" s="73" t="s">
        <v>1521</v>
      </c>
      <c r="F171" s="73"/>
      <c r="G171" s="73" t="s">
        <v>1533</v>
      </c>
      <c r="H171" s="73" t="s">
        <v>1713</v>
      </c>
      <c r="J171" s="73"/>
      <c r="K171" s="73"/>
      <c r="L171" s="73"/>
    </row>
    <row r="172" spans="1:20">
      <c r="A172" s="73" t="s">
        <v>1425</v>
      </c>
      <c r="B172" s="73"/>
      <c r="C172" s="73">
        <v>2015</v>
      </c>
      <c r="D172" s="73" t="s">
        <v>1714</v>
      </c>
      <c r="E172" s="73" t="s">
        <v>1521</v>
      </c>
      <c r="F172" s="73"/>
      <c r="G172" s="73" t="s">
        <v>1538</v>
      </c>
      <c r="H172" s="73" t="s">
        <v>1715</v>
      </c>
      <c r="J172" s="73"/>
      <c r="K172" s="73"/>
      <c r="L172" s="73"/>
    </row>
    <row r="173" spans="1:20">
      <c r="A173" s="81" t="s">
        <v>1425</v>
      </c>
      <c r="B173" s="69" t="s">
        <v>437</v>
      </c>
      <c r="C173" s="81">
        <v>2020</v>
      </c>
      <c r="D173" s="81" t="s">
        <v>1716</v>
      </c>
      <c r="E173" s="81" t="s">
        <v>1521</v>
      </c>
      <c r="F173" s="69"/>
      <c r="G173" s="69" t="s">
        <v>1546</v>
      </c>
      <c r="H173" s="69" t="s">
        <v>1717</v>
      </c>
      <c r="I173" s="70"/>
      <c r="J173" s="69"/>
      <c r="K173" s="69"/>
      <c r="L173" s="69"/>
    </row>
    <row r="174" spans="1:20">
      <c r="A174" s="73" t="s">
        <v>1425</v>
      </c>
      <c r="B174" s="72"/>
      <c r="C174" s="73">
        <v>2025</v>
      </c>
      <c r="D174" s="73" t="s">
        <v>1718</v>
      </c>
      <c r="E174" s="73" t="s">
        <v>1521</v>
      </c>
      <c r="F174" s="72"/>
      <c r="G174" s="72" t="s">
        <v>1581</v>
      </c>
      <c r="H174" s="72" t="s">
        <v>1719</v>
      </c>
      <c r="I174" s="78"/>
      <c r="J174" s="72"/>
      <c r="K174" s="72"/>
      <c r="L174" s="72"/>
    </row>
    <row r="175" spans="1:20">
      <c r="A175" s="73"/>
      <c r="B175" s="73"/>
      <c r="C175" s="73"/>
      <c r="D175" s="73"/>
      <c r="E175" s="73"/>
      <c r="F175" s="73"/>
      <c r="G175" s="73"/>
      <c r="H175" s="73"/>
      <c r="J175" s="73"/>
      <c r="K175" s="73"/>
      <c r="L175" s="73"/>
    </row>
    <row r="176" spans="1:20">
      <c r="A176" s="81" t="s">
        <v>1720</v>
      </c>
      <c r="B176" s="81" t="s">
        <v>437</v>
      </c>
      <c r="C176" s="81">
        <v>2020</v>
      </c>
      <c r="D176" s="81" t="s">
        <v>1716</v>
      </c>
      <c r="E176" s="81" t="s">
        <v>1521</v>
      </c>
      <c r="F176" s="81"/>
      <c r="G176" s="81" t="s">
        <v>1530</v>
      </c>
      <c r="H176" s="81" t="s">
        <v>1715</v>
      </c>
      <c r="I176" s="71"/>
      <c r="J176" s="81"/>
      <c r="K176" s="81"/>
      <c r="L176" s="81"/>
    </row>
    <row r="177" spans="1:20">
      <c r="A177" s="73" t="s">
        <v>1720</v>
      </c>
      <c r="B177" s="73"/>
      <c r="C177" s="73">
        <v>2015</v>
      </c>
      <c r="D177" s="73" t="s">
        <v>1710</v>
      </c>
      <c r="E177" s="73" t="s">
        <v>1521</v>
      </c>
      <c r="F177" s="73"/>
      <c r="G177" s="73" t="s">
        <v>1533</v>
      </c>
      <c r="H177" s="73" t="s">
        <v>1721</v>
      </c>
      <c r="J177" s="73"/>
      <c r="K177" s="73"/>
      <c r="L177" s="73"/>
    </row>
    <row r="178" spans="1:20">
      <c r="A178" s="73" t="s">
        <v>1720</v>
      </c>
      <c r="B178" s="73"/>
      <c r="C178">
        <v>2015</v>
      </c>
      <c r="D178" t="s">
        <v>1714</v>
      </c>
      <c r="E178" s="73" t="s">
        <v>1521</v>
      </c>
      <c r="F178" s="73"/>
      <c r="G178" s="73" t="s">
        <v>1538</v>
      </c>
      <c r="H178" s="73" t="s">
        <v>1722</v>
      </c>
      <c r="J178" s="73"/>
      <c r="K178" s="73"/>
      <c r="L178" s="73"/>
    </row>
    <row r="179" spans="1:20">
      <c r="A179" s="73"/>
      <c r="B179" s="73"/>
      <c r="C179" s="73"/>
      <c r="D179" s="73"/>
      <c r="E179" s="73"/>
      <c r="F179" s="73"/>
      <c r="G179" s="73"/>
      <c r="H179" s="73"/>
      <c r="J179" s="73"/>
      <c r="K179" s="73"/>
      <c r="L179" s="73"/>
    </row>
    <row r="180" spans="1:20">
      <c r="A180" s="73" t="s">
        <v>485</v>
      </c>
      <c r="B180" s="73"/>
      <c r="C180" s="73">
        <v>2015</v>
      </c>
      <c r="D180" s="73" t="s">
        <v>1710</v>
      </c>
      <c r="E180" s="73" t="s">
        <v>1521</v>
      </c>
      <c r="F180" s="73"/>
      <c r="G180" s="73" t="s">
        <v>1530</v>
      </c>
      <c r="H180" s="73" t="s">
        <v>1723</v>
      </c>
      <c r="J180" s="73"/>
      <c r="K180" s="73"/>
      <c r="L180" s="73"/>
    </row>
    <row r="181" spans="1:20">
      <c r="A181" s="73" t="s">
        <v>485</v>
      </c>
      <c r="B181" s="73"/>
      <c r="C181" s="73">
        <v>2017</v>
      </c>
      <c r="D181" s="73" t="s">
        <v>1724</v>
      </c>
      <c r="E181" s="73" t="s">
        <v>1521</v>
      </c>
      <c r="F181" s="73"/>
      <c r="G181" s="73" t="s">
        <v>1533</v>
      </c>
      <c r="H181" s="73" t="s">
        <v>1725</v>
      </c>
      <c r="J181" s="73"/>
      <c r="K181" s="73"/>
      <c r="L181" s="73"/>
    </row>
    <row r="182" spans="1:20">
      <c r="A182" s="73" t="s">
        <v>485</v>
      </c>
      <c r="B182" s="73"/>
      <c r="C182" s="73">
        <v>2011</v>
      </c>
      <c r="D182" s="73" t="s">
        <v>1726</v>
      </c>
      <c r="E182" s="73" t="s">
        <v>1521</v>
      </c>
      <c r="F182" s="73"/>
      <c r="G182" s="73" t="s">
        <v>1538</v>
      </c>
      <c r="H182" s="73" t="s">
        <v>1727</v>
      </c>
      <c r="J182" s="73"/>
      <c r="K182" s="73"/>
      <c r="L182" s="73"/>
    </row>
    <row r="183" spans="1:20">
      <c r="A183" s="73" t="s">
        <v>485</v>
      </c>
      <c r="B183" s="73"/>
      <c r="C183" s="73">
        <v>2021</v>
      </c>
      <c r="D183" s="73" t="s">
        <v>1728</v>
      </c>
      <c r="E183" s="73" t="s">
        <v>1521</v>
      </c>
      <c r="F183" s="73"/>
      <c r="G183" s="73" t="s">
        <v>1546</v>
      </c>
      <c r="H183" s="73" t="s">
        <v>1729</v>
      </c>
      <c r="J183" s="73"/>
      <c r="K183" s="73"/>
      <c r="L183" s="73"/>
    </row>
    <row r="184" spans="1:20">
      <c r="A184" s="73" t="s">
        <v>485</v>
      </c>
      <c r="B184" s="72"/>
      <c r="C184" s="73">
        <v>2023</v>
      </c>
      <c r="D184" s="73" t="s">
        <v>1718</v>
      </c>
      <c r="E184" s="73" t="s">
        <v>1521</v>
      </c>
      <c r="F184" s="72"/>
      <c r="G184" s="72" t="s">
        <v>1581</v>
      </c>
      <c r="H184" s="73" t="s">
        <v>1719</v>
      </c>
      <c r="I184" s="78"/>
      <c r="J184" s="72"/>
      <c r="K184" s="72"/>
      <c r="L184" s="72"/>
    </row>
    <row r="185" spans="1:20">
      <c r="A185" s="73" t="s">
        <v>485</v>
      </c>
      <c r="B185" s="72" t="s">
        <v>437</v>
      </c>
      <c r="C185" s="73">
        <v>2020</v>
      </c>
      <c r="D185" s="73" t="s">
        <v>1716</v>
      </c>
      <c r="E185" s="73" t="s">
        <v>1521</v>
      </c>
      <c r="F185" s="72"/>
      <c r="G185" s="72" t="s">
        <v>1583</v>
      </c>
      <c r="H185" s="72" t="s">
        <v>1730</v>
      </c>
      <c r="I185" s="78"/>
      <c r="J185" s="72"/>
      <c r="K185" s="72"/>
      <c r="L185" s="72"/>
    </row>
    <row r="186" spans="1:20">
      <c r="A186" s="82" t="s">
        <v>485</v>
      </c>
      <c r="B186" s="82" t="s">
        <v>486</v>
      </c>
      <c r="C186" s="82">
        <v>2015</v>
      </c>
      <c r="D186" s="82" t="s">
        <v>1714</v>
      </c>
      <c r="E186" s="82" t="s">
        <v>1521</v>
      </c>
      <c r="F186" s="82"/>
      <c r="G186" s="82" t="s">
        <v>1585</v>
      </c>
      <c r="H186" s="82" t="s">
        <v>1715</v>
      </c>
      <c r="I186" s="83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</row>
    <row r="187" spans="1:20">
      <c r="A187" s="72" t="s">
        <v>485</v>
      </c>
      <c r="B187" s="73"/>
      <c r="C187" s="73">
        <v>2003</v>
      </c>
      <c r="D187" s="73" t="s">
        <v>1731</v>
      </c>
      <c r="E187" s="73" t="s">
        <v>1521</v>
      </c>
      <c r="F187" s="73"/>
      <c r="G187" s="73"/>
      <c r="H187" s="73" t="s">
        <v>1732</v>
      </c>
      <c r="J187" s="73"/>
      <c r="K187" s="73"/>
      <c r="L187" s="73"/>
    </row>
    <row r="188" spans="1:20">
      <c r="A188" t="s">
        <v>485</v>
      </c>
      <c r="C188">
        <v>2006</v>
      </c>
      <c r="D188" t="s">
        <v>1733</v>
      </c>
      <c r="E188" t="s">
        <v>1521</v>
      </c>
      <c r="G188" t="s">
        <v>1734</v>
      </c>
      <c r="H188" t="s">
        <v>1721</v>
      </c>
    </row>
    <row r="189" spans="1:20">
      <c r="A189" s="73"/>
      <c r="B189" s="73"/>
      <c r="C189" s="73"/>
      <c r="D189" s="73"/>
      <c r="E189" s="73"/>
      <c r="F189" s="73"/>
      <c r="G189" s="73"/>
      <c r="H189" s="73"/>
      <c r="J189" s="73"/>
      <c r="K189" s="73"/>
      <c r="L189" s="73"/>
    </row>
    <row r="190" spans="1:20">
      <c r="A190" s="73"/>
      <c r="B190" s="73"/>
      <c r="C190" s="73"/>
      <c r="D190" s="73"/>
      <c r="E190" s="73"/>
      <c r="F190" s="73"/>
      <c r="G190" s="73"/>
      <c r="H190" s="73"/>
      <c r="J190" s="73"/>
      <c r="K190" s="73"/>
      <c r="L190" s="73"/>
    </row>
    <row r="191" spans="1:20">
      <c r="A191" s="69" t="s">
        <v>1735</v>
      </c>
      <c r="B191" s="81" t="s">
        <v>492</v>
      </c>
      <c r="C191" s="81">
        <v>2022</v>
      </c>
      <c r="D191" s="81" t="s">
        <v>1736</v>
      </c>
      <c r="E191" s="81" t="s">
        <v>1521</v>
      </c>
      <c r="F191" s="81"/>
      <c r="G191" s="81"/>
      <c r="H191" s="81"/>
      <c r="I191" s="71"/>
      <c r="J191" s="81"/>
      <c r="K191" s="81"/>
      <c r="L191" s="81"/>
    </row>
    <row r="192" spans="1:20">
      <c r="A192" s="84" t="s">
        <v>1735</v>
      </c>
      <c r="B192" s="84"/>
      <c r="C192" s="84">
        <v>2017</v>
      </c>
      <c r="D192" s="84" t="s">
        <v>1737</v>
      </c>
      <c r="E192" s="84" t="s">
        <v>1521</v>
      </c>
      <c r="F192" s="84" t="s">
        <v>1664</v>
      </c>
      <c r="G192" s="84"/>
      <c r="H192" s="84"/>
      <c r="I192" s="85"/>
      <c r="J192" s="84"/>
      <c r="K192" s="84"/>
      <c r="L192" s="84"/>
      <c r="M192" s="62"/>
      <c r="N192" s="62"/>
    </row>
    <row r="193" spans="1:20">
      <c r="A193" s="73"/>
      <c r="B193" s="73"/>
      <c r="C193" s="73"/>
      <c r="D193" s="73"/>
      <c r="E193" s="73"/>
      <c r="F193" s="73"/>
      <c r="G193" s="73"/>
      <c r="H193" s="73"/>
      <c r="J193" s="73"/>
      <c r="K193" s="73"/>
      <c r="L193" s="73"/>
    </row>
    <row r="194" spans="1:20">
      <c r="A194" s="81" t="s">
        <v>513</v>
      </c>
      <c r="B194" s="81" t="s">
        <v>499</v>
      </c>
      <c r="C194" s="81">
        <v>2019</v>
      </c>
      <c r="D194" s="81" t="s">
        <v>1738</v>
      </c>
      <c r="E194" s="81" t="s">
        <v>1521</v>
      </c>
      <c r="F194" s="81"/>
      <c r="G194" s="81" t="s">
        <v>1530</v>
      </c>
      <c r="H194" s="81" t="s">
        <v>1739</v>
      </c>
      <c r="I194" s="71"/>
      <c r="J194" s="81"/>
      <c r="K194" s="81"/>
      <c r="L194" s="81"/>
    </row>
    <row r="195" spans="1:20">
      <c r="A195" s="73" t="s">
        <v>513</v>
      </c>
      <c r="B195" s="73"/>
      <c r="C195" s="73">
        <v>2019</v>
      </c>
      <c r="D195" s="73" t="s">
        <v>1740</v>
      </c>
      <c r="E195" s="73" t="s">
        <v>1521</v>
      </c>
      <c r="F195" s="73"/>
      <c r="G195" s="73"/>
      <c r="H195" s="73" t="s">
        <v>1741</v>
      </c>
      <c r="J195" s="73"/>
      <c r="K195" s="73"/>
      <c r="L195" s="73"/>
    </row>
    <row r="196" spans="1:20">
      <c r="A196" s="81" t="s">
        <v>513</v>
      </c>
      <c r="B196" s="81" t="s">
        <v>514</v>
      </c>
      <c r="C196" s="81">
        <v>2023</v>
      </c>
      <c r="D196" s="81" t="s">
        <v>1742</v>
      </c>
      <c r="E196" s="81" t="s">
        <v>1521</v>
      </c>
      <c r="F196" s="81"/>
      <c r="G196" s="81" t="s">
        <v>1533</v>
      </c>
      <c r="H196" s="81" t="s">
        <v>1743</v>
      </c>
      <c r="I196" s="71"/>
      <c r="J196" s="81"/>
      <c r="K196" s="81"/>
      <c r="L196" s="81"/>
    </row>
    <row r="197" spans="1:20">
      <c r="A197" s="73"/>
      <c r="B197" s="73"/>
      <c r="C197" s="73"/>
      <c r="D197" s="73"/>
      <c r="E197" s="73"/>
      <c r="F197" s="73"/>
      <c r="G197" s="73"/>
      <c r="H197" s="73"/>
      <c r="J197" s="73"/>
      <c r="K197" s="73"/>
      <c r="L197" s="73"/>
    </row>
    <row r="198" spans="1:20">
      <c r="A198" s="73"/>
      <c r="B198" s="73"/>
      <c r="C198" s="73"/>
      <c r="D198" s="73"/>
      <c r="E198" s="73"/>
      <c r="F198" s="73"/>
      <c r="G198" s="73"/>
      <c r="H198" s="73"/>
      <c r="J198" s="73"/>
      <c r="K198" s="73"/>
      <c r="L198" s="73"/>
    </row>
    <row r="199" spans="1:20">
      <c r="A199" s="81" t="s">
        <v>526</v>
      </c>
      <c r="B199" s="81" t="s">
        <v>499</v>
      </c>
      <c r="C199" s="81">
        <v>2019</v>
      </c>
      <c r="D199" s="81" t="s">
        <v>1738</v>
      </c>
      <c r="E199" s="81" t="s">
        <v>1521</v>
      </c>
      <c r="F199" s="81"/>
      <c r="G199" s="81" t="s">
        <v>1530</v>
      </c>
      <c r="H199" s="81" t="s">
        <v>1744</v>
      </c>
      <c r="I199" s="71"/>
      <c r="J199" s="81"/>
      <c r="K199" s="81"/>
      <c r="L199" s="81"/>
    </row>
    <row r="200" spans="1:20">
      <c r="A200" s="73" t="s">
        <v>526</v>
      </c>
      <c r="B200" s="73"/>
      <c r="C200" s="73">
        <v>2019</v>
      </c>
      <c r="D200" s="73" t="s">
        <v>1740</v>
      </c>
      <c r="E200" s="73" t="s">
        <v>1521</v>
      </c>
      <c r="F200" s="73"/>
      <c r="G200" s="73"/>
      <c r="H200" s="73" t="s">
        <v>1741</v>
      </c>
      <c r="J200" s="73"/>
      <c r="K200" s="73"/>
      <c r="L200" s="73"/>
    </row>
    <row r="201" spans="1:20">
      <c r="A201" s="81" t="s">
        <v>526</v>
      </c>
      <c r="B201" s="81" t="s">
        <v>514</v>
      </c>
      <c r="C201" s="81">
        <v>2023</v>
      </c>
      <c r="D201" s="81" t="s">
        <v>1742</v>
      </c>
      <c r="E201" s="81" t="s">
        <v>1521</v>
      </c>
      <c r="F201" s="81"/>
      <c r="G201" s="81" t="s">
        <v>1533</v>
      </c>
      <c r="H201" s="81" t="s">
        <v>1745</v>
      </c>
      <c r="I201" s="71"/>
      <c r="J201" s="81"/>
      <c r="K201" s="81"/>
      <c r="L201" s="81"/>
    </row>
    <row r="202" spans="1:20">
      <c r="A202" s="73"/>
      <c r="B202" s="73"/>
      <c r="C202" s="73"/>
      <c r="D202" s="73"/>
      <c r="E202" s="73"/>
      <c r="F202" s="73"/>
      <c r="G202" s="73"/>
      <c r="H202" s="73"/>
      <c r="J202" s="73"/>
      <c r="K202" s="73"/>
      <c r="L202" s="73"/>
    </row>
    <row r="203" spans="1:20">
      <c r="A203" s="73"/>
      <c r="B203" s="72"/>
      <c r="C203" s="73"/>
      <c r="D203" s="73"/>
      <c r="E203" s="73"/>
      <c r="F203" s="72"/>
      <c r="G203" s="72"/>
      <c r="H203" s="72"/>
      <c r="I203" s="78"/>
      <c r="J203" s="72"/>
      <c r="K203" s="72"/>
      <c r="L203" s="72"/>
    </row>
    <row r="204" spans="1:20">
      <c r="A204" s="73"/>
      <c r="B204" s="72"/>
      <c r="C204" s="73"/>
      <c r="D204" s="73"/>
      <c r="E204" s="73"/>
      <c r="F204" s="72"/>
      <c r="G204" s="72"/>
      <c r="H204" s="72"/>
      <c r="I204" s="78"/>
      <c r="J204" s="72"/>
      <c r="K204" s="72"/>
      <c r="L204" s="72"/>
    </row>
    <row r="205" spans="1:20">
      <c r="A205" s="81" t="s">
        <v>498</v>
      </c>
      <c r="B205" s="69" t="s">
        <v>499</v>
      </c>
      <c r="C205" s="81">
        <v>2019</v>
      </c>
      <c r="D205" s="81" t="s">
        <v>1738</v>
      </c>
      <c r="E205" s="81" t="s">
        <v>1521</v>
      </c>
      <c r="F205" s="69"/>
      <c r="G205" s="69"/>
      <c r="H205" s="69"/>
      <c r="I205" s="70"/>
      <c r="J205" s="69"/>
      <c r="K205" s="69"/>
      <c r="L205" s="69"/>
      <c r="M205" s="48"/>
      <c r="N205" s="48"/>
      <c r="O205" s="48"/>
      <c r="P205" s="48"/>
      <c r="Q205" s="48"/>
      <c r="R205" s="48"/>
      <c r="S205" s="48"/>
      <c r="T205" s="48"/>
    </row>
    <row r="206" spans="1:20">
      <c r="A206" s="73" t="s">
        <v>498</v>
      </c>
      <c r="B206" s="72"/>
      <c r="C206" s="73">
        <v>2025</v>
      </c>
      <c r="D206" s="73" t="s">
        <v>1718</v>
      </c>
      <c r="E206" s="73" t="s">
        <v>1521</v>
      </c>
      <c r="F206" s="72"/>
      <c r="G206" s="72"/>
      <c r="H206" s="72" t="s">
        <v>1746</v>
      </c>
      <c r="I206" s="78"/>
      <c r="J206" s="72"/>
      <c r="K206" s="72"/>
      <c r="L206" s="72"/>
    </row>
    <row r="207" spans="1:20">
      <c r="A207" s="72"/>
    </row>
    <row r="208" ht="17.5" spans="1:20">
      <c r="A208" s="86"/>
      <c r="C208" s="86"/>
    </row>
    <row r="209" ht="17.5" spans="1:20">
      <c r="A209" s="86"/>
      <c r="C209" s="86"/>
    </row>
    <row r="210" ht="17.5" spans="1:20">
      <c r="A210" s="86" t="s">
        <v>1747</v>
      </c>
      <c r="C210" s="86"/>
    </row>
    <row r="212" spans="1:20">
      <c r="A212" t="s">
        <v>1748</v>
      </c>
      <c r="C212">
        <v>2012</v>
      </c>
      <c r="D212" t="s">
        <v>1749</v>
      </c>
      <c r="E212" t="s">
        <v>1521</v>
      </c>
      <c r="M212" t="s">
        <v>1530</v>
      </c>
      <c r="N212" t="s">
        <v>1750</v>
      </c>
    </row>
    <row r="213" spans="1:20">
      <c r="A213" s="48" t="s">
        <v>1748</v>
      </c>
      <c r="B213" s="69" t="s">
        <v>536</v>
      </c>
      <c r="C213" s="48">
        <v>2020</v>
      </c>
      <c r="D213" s="48" t="s">
        <v>1751</v>
      </c>
      <c r="E213" s="48" t="s">
        <v>1521</v>
      </c>
      <c r="F213" s="69"/>
      <c r="G213" s="69"/>
      <c r="H213" s="69" t="s">
        <v>1752</v>
      </c>
      <c r="I213" s="70"/>
      <c r="J213" s="69" t="s">
        <v>1753</v>
      </c>
      <c r="K213" s="69" t="s">
        <v>1530</v>
      </c>
      <c r="L213" s="69" t="s">
        <v>1754</v>
      </c>
      <c r="M213" s="48" t="s">
        <v>1533</v>
      </c>
      <c r="N213" s="48" t="s">
        <v>1755</v>
      </c>
      <c r="O213" s="48"/>
      <c r="P213" s="48" t="s">
        <v>1756</v>
      </c>
      <c r="Q213" s="48"/>
      <c r="R213" s="48"/>
      <c r="S213" s="48"/>
      <c r="T213" s="48"/>
    </row>
    <row r="214" spans="1:20">
      <c r="A214" t="s">
        <v>1748</v>
      </c>
      <c r="C214">
        <v>2015</v>
      </c>
      <c r="D214" t="s">
        <v>1757</v>
      </c>
      <c r="E214" t="s">
        <v>1521</v>
      </c>
      <c r="F214" s="63"/>
      <c r="G214" s="87"/>
      <c r="H214" s="63" t="s">
        <v>1758</v>
      </c>
    </row>
    <row r="215" spans="1:20">
      <c r="A215" t="s">
        <v>1748</v>
      </c>
      <c r="C215">
        <v>2013</v>
      </c>
      <c r="D215" t="s">
        <v>1759</v>
      </c>
      <c r="E215" t="s">
        <v>1521</v>
      </c>
      <c r="K215" t="s">
        <v>1533</v>
      </c>
      <c r="L215" t="s">
        <v>1760</v>
      </c>
    </row>
    <row r="216" spans="1:20">
      <c r="A216" t="s">
        <v>1748</v>
      </c>
      <c r="C216">
        <v>2007</v>
      </c>
      <c r="D216" t="s">
        <v>1761</v>
      </c>
      <c r="E216" t="s">
        <v>1521</v>
      </c>
      <c r="K216" t="s">
        <v>1538</v>
      </c>
      <c r="L216" t="s">
        <v>1762</v>
      </c>
    </row>
    <row r="217" spans="1:20">
      <c r="A217" t="s">
        <v>1748</v>
      </c>
      <c r="C217">
        <v>2018</v>
      </c>
      <c r="D217" t="s">
        <v>1763</v>
      </c>
      <c r="E217" t="s">
        <v>1521</v>
      </c>
      <c r="L217" t="s">
        <v>1764</v>
      </c>
    </row>
    <row r="218" spans="1:20">
      <c r="A218" t="s">
        <v>1748</v>
      </c>
      <c r="C218">
        <v>2016</v>
      </c>
      <c r="D218" t="s">
        <v>1765</v>
      </c>
      <c r="E218" t="s">
        <v>1521</v>
      </c>
      <c r="H218" t="s">
        <v>1758</v>
      </c>
    </row>
    <row r="219" spans="1:20">
      <c r="A219" t="s">
        <v>1748</v>
      </c>
      <c r="C219">
        <v>2023</v>
      </c>
      <c r="D219" t="s">
        <v>1718</v>
      </c>
      <c r="E219" t="s">
        <v>1521</v>
      </c>
      <c r="K219" t="s">
        <v>1546</v>
      </c>
      <c r="L219" t="s">
        <v>1766</v>
      </c>
    </row>
    <row r="220" spans="1:20">
      <c r="A220" s="62" t="s">
        <v>1748</v>
      </c>
      <c r="B220" s="62"/>
      <c r="C220" s="62">
        <v>2015</v>
      </c>
      <c r="D220" s="62" t="s">
        <v>1767</v>
      </c>
      <c r="E220" s="62" t="s">
        <v>1521</v>
      </c>
      <c r="F220" s="62" t="s">
        <v>1768</v>
      </c>
      <c r="G220" s="62"/>
      <c r="H220" s="62"/>
      <c r="I220" s="85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</row>
    <row r="221" s="62" customFormat="1" spans="1:20">
      <c r="A221" s="88" t="s">
        <v>1769</v>
      </c>
      <c r="C221" s="62">
        <v>2025</v>
      </c>
      <c r="D221" s="62" t="s">
        <v>1770</v>
      </c>
      <c r="E221" s="62" t="s">
        <v>1521</v>
      </c>
      <c r="F221" s="62" t="s">
        <v>1768</v>
      </c>
      <c r="I221" s="85"/>
    </row>
    <row r="222" spans="1:20">
      <c r="A222" s="72"/>
    </row>
    <row r="223" spans="1:20">
      <c r="B223" s="72"/>
      <c r="F223" s="72"/>
      <c r="G223" s="72"/>
      <c r="H223" s="72"/>
      <c r="I223" s="78"/>
      <c r="J223" s="72"/>
      <c r="K223" s="72"/>
      <c r="L223" s="72"/>
    </row>
    <row r="224" spans="1:20">
      <c r="A224" s="48" t="s">
        <v>1431</v>
      </c>
      <c r="B224" s="69" t="s">
        <v>536</v>
      </c>
      <c r="C224" s="48">
        <v>2020</v>
      </c>
      <c r="D224" s="48" t="s">
        <v>1751</v>
      </c>
      <c r="E224" s="48" t="s">
        <v>1521</v>
      </c>
      <c r="F224" s="69"/>
      <c r="G224" s="69"/>
      <c r="H224" s="69" t="s">
        <v>1771</v>
      </c>
      <c r="I224" s="70"/>
      <c r="J224" s="69" t="s">
        <v>1772</v>
      </c>
      <c r="K224" s="69"/>
      <c r="L224" s="69" t="s">
        <v>1766</v>
      </c>
      <c r="M224" s="48"/>
      <c r="N224" s="48" t="s">
        <v>1773</v>
      </c>
      <c r="O224" s="48"/>
      <c r="P224" s="48" t="s">
        <v>1774</v>
      </c>
      <c r="Q224" s="48"/>
      <c r="R224" s="48"/>
      <c r="S224" s="48"/>
      <c r="T224" s="48"/>
    </row>
    <row r="227" spans="1:16">
      <c r="A227" s="48" t="s">
        <v>579</v>
      </c>
      <c r="B227" s="69" t="s">
        <v>580</v>
      </c>
      <c r="C227" s="48">
        <v>2015</v>
      </c>
      <c r="D227" s="48" t="s">
        <v>1775</v>
      </c>
      <c r="E227" s="48" t="s">
        <v>1521</v>
      </c>
      <c r="F227" s="69"/>
      <c r="G227" s="69" t="s">
        <v>1530</v>
      </c>
      <c r="H227" s="69" t="s">
        <v>1776</v>
      </c>
      <c r="I227" s="70"/>
      <c r="J227" s="69"/>
      <c r="K227" s="69"/>
      <c r="L227" s="69"/>
    </row>
    <row r="228" spans="1:16">
      <c r="A228" t="s">
        <v>579</v>
      </c>
      <c r="C228">
        <v>2016</v>
      </c>
      <c r="D228" t="s">
        <v>1765</v>
      </c>
      <c r="E228" t="s">
        <v>1521</v>
      </c>
      <c r="G228" t="s">
        <v>1533</v>
      </c>
      <c r="H228" t="s">
        <v>1777</v>
      </c>
    </row>
    <row r="231" spans="1:16">
      <c r="A231" t="s">
        <v>586</v>
      </c>
      <c r="C231">
        <v>2020</v>
      </c>
      <c r="D231" t="s">
        <v>1778</v>
      </c>
      <c r="E231" t="s">
        <v>1521</v>
      </c>
      <c r="G231" t="s">
        <v>1530</v>
      </c>
      <c r="H231" t="s">
        <v>1779</v>
      </c>
    </row>
    <row r="232" spans="1:16">
      <c r="A232" t="s">
        <v>586</v>
      </c>
      <c r="C232">
        <v>2012</v>
      </c>
      <c r="D232" t="s">
        <v>1749</v>
      </c>
      <c r="E232" t="s">
        <v>1521</v>
      </c>
      <c r="H232" t="s">
        <v>1758</v>
      </c>
    </row>
    <row r="233" spans="1:16">
      <c r="A233" t="s">
        <v>586</v>
      </c>
      <c r="C233">
        <v>2015</v>
      </c>
      <c r="D233" t="s">
        <v>1775</v>
      </c>
      <c r="E233" t="s">
        <v>1521</v>
      </c>
      <c r="L233" t="s">
        <v>1780</v>
      </c>
    </row>
    <row r="234" spans="1:16">
      <c r="A234" t="s">
        <v>586</v>
      </c>
      <c r="C234">
        <v>2015</v>
      </c>
      <c r="D234" t="s">
        <v>1757</v>
      </c>
      <c r="E234" t="s">
        <v>1521</v>
      </c>
      <c r="H234" t="s">
        <v>1758</v>
      </c>
    </row>
    <row r="235" spans="1:16">
      <c r="A235" t="s">
        <v>586</v>
      </c>
      <c r="C235">
        <v>2016</v>
      </c>
      <c r="D235" t="s">
        <v>1781</v>
      </c>
      <c r="E235" t="s">
        <v>1521</v>
      </c>
      <c r="H235" t="s">
        <v>1782</v>
      </c>
    </row>
    <row r="236" spans="1:16">
      <c r="A236" s="48" t="s">
        <v>586</v>
      </c>
      <c r="B236" s="69" t="s">
        <v>536</v>
      </c>
      <c r="C236" s="48">
        <v>2020</v>
      </c>
      <c r="D236" s="48" t="s">
        <v>1751</v>
      </c>
      <c r="E236" s="48" t="s">
        <v>1521</v>
      </c>
      <c r="F236" s="69"/>
      <c r="G236" s="69" t="s">
        <v>1533</v>
      </c>
      <c r="H236" s="69" t="s">
        <v>1783</v>
      </c>
      <c r="I236" s="70"/>
      <c r="J236" s="69" t="s">
        <v>1784</v>
      </c>
      <c r="K236" s="69"/>
      <c r="L236" s="69" t="s">
        <v>1785</v>
      </c>
      <c r="N236" t="s">
        <v>1786</v>
      </c>
      <c r="P236" t="s">
        <v>1787</v>
      </c>
    </row>
    <row r="237" s="62" customFormat="1" spans="1:16">
      <c r="A237" s="62" t="s">
        <v>1788</v>
      </c>
      <c r="C237" s="62">
        <v>2025</v>
      </c>
      <c r="D237" s="62" t="s">
        <v>1789</v>
      </c>
      <c r="E237" s="62" t="s">
        <v>1521</v>
      </c>
      <c r="F237" s="62" t="s">
        <v>1768</v>
      </c>
      <c r="I237" s="85"/>
    </row>
    <row r="240" spans="1:16">
      <c r="A240" s="21" t="s">
        <v>1790</v>
      </c>
      <c r="B240" s="21"/>
      <c r="C240" s="21">
        <v>2025</v>
      </c>
      <c r="D240" s="21" t="s">
        <v>1791</v>
      </c>
      <c r="E240" s="21" t="s">
        <v>1521</v>
      </c>
      <c r="F240" s="21"/>
      <c r="G240" s="21" t="s">
        <v>1530</v>
      </c>
      <c r="H240" s="21" t="s">
        <v>1792</v>
      </c>
      <c r="I240" s="23"/>
      <c r="J240" s="21"/>
      <c r="K240" s="21"/>
      <c r="L240" s="21"/>
      <c r="M240" s="21"/>
      <c r="N240" s="21"/>
    </row>
    <row r="241" spans="1:20">
      <c r="A241" s="21" t="s">
        <v>1790</v>
      </c>
      <c r="B241" s="21" t="s">
        <v>615</v>
      </c>
      <c r="C241" s="21">
        <v>2020</v>
      </c>
      <c r="D241" s="21" t="s">
        <v>1793</v>
      </c>
      <c r="E241" s="21" t="s">
        <v>1521</v>
      </c>
      <c r="F241" s="21"/>
      <c r="G241" s="21" t="s">
        <v>1533</v>
      </c>
      <c r="H241" s="21" t="s">
        <v>1794</v>
      </c>
      <c r="I241" s="23"/>
      <c r="J241" s="21"/>
      <c r="K241" s="21"/>
      <c r="L241" s="21"/>
      <c r="M241" s="21"/>
      <c r="N241" s="21"/>
    </row>
    <row r="242" spans="1:20">
      <c r="A242" t="s">
        <v>614</v>
      </c>
      <c r="C242">
        <v>2011</v>
      </c>
      <c r="D242" t="s">
        <v>1795</v>
      </c>
      <c r="E242" t="s">
        <v>1521</v>
      </c>
      <c r="G242" t="s">
        <v>1538</v>
      </c>
      <c r="H242" t="s">
        <v>1796</v>
      </c>
    </row>
    <row r="245" spans="1:20">
      <c r="A245" s="62" t="s">
        <v>1797</v>
      </c>
      <c r="B245" s="62"/>
      <c r="C245" s="62">
        <v>2013</v>
      </c>
      <c r="D245" s="62" t="s">
        <v>1798</v>
      </c>
      <c r="E245" s="62"/>
      <c r="F245" s="62" t="s">
        <v>1664</v>
      </c>
      <c r="G245" s="62"/>
      <c r="H245" s="62"/>
      <c r="I245" s="85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</row>
    <row r="246" spans="1:20">
      <c r="A246" t="s">
        <v>1797</v>
      </c>
      <c r="B246" s="72"/>
      <c r="C246">
        <v>2024</v>
      </c>
      <c r="D246" t="s">
        <v>1799</v>
      </c>
      <c r="E246" t="s">
        <v>1521</v>
      </c>
      <c r="F246" s="72"/>
      <c r="G246" s="72"/>
      <c r="H246" s="72"/>
      <c r="I246" s="78"/>
      <c r="J246" s="72" t="s">
        <v>1800</v>
      </c>
      <c r="K246" s="72" t="s">
        <v>1530</v>
      </c>
      <c r="L246" s="72" t="s">
        <v>1777</v>
      </c>
    </row>
    <row r="247" spans="1:20">
      <c r="A247" s="48" t="s">
        <v>1797</v>
      </c>
      <c r="B247" s="69" t="s">
        <v>623</v>
      </c>
      <c r="C247" s="48">
        <v>2015</v>
      </c>
      <c r="D247" s="48" t="s">
        <v>1801</v>
      </c>
      <c r="E247" s="48" t="s">
        <v>1521</v>
      </c>
      <c r="F247" s="69"/>
      <c r="G247" s="69" t="s">
        <v>1530</v>
      </c>
      <c r="H247" s="69" t="s">
        <v>1802</v>
      </c>
      <c r="I247" s="70"/>
      <c r="J247" s="69"/>
      <c r="K247" s="69" t="s">
        <v>1533</v>
      </c>
      <c r="L247" s="69" t="s">
        <v>1803</v>
      </c>
    </row>
    <row r="248" spans="1:20">
      <c r="A248" t="s">
        <v>1797</v>
      </c>
      <c r="C248">
        <v>2015</v>
      </c>
      <c r="D248" t="s">
        <v>1804</v>
      </c>
      <c r="E248" t="s">
        <v>1521</v>
      </c>
      <c r="K248" t="s">
        <v>1538</v>
      </c>
      <c r="L248" t="s">
        <v>1803</v>
      </c>
    </row>
    <row r="249" spans="1:20">
      <c r="A249" s="21" t="s">
        <v>1805</v>
      </c>
      <c r="B249" s="21"/>
      <c r="C249" s="21">
        <v>2024</v>
      </c>
      <c r="D249" s="21" t="s">
        <v>1806</v>
      </c>
      <c r="E249" s="21" t="s">
        <v>1521</v>
      </c>
      <c r="F249" s="21"/>
      <c r="G249" s="21" t="s">
        <v>1533</v>
      </c>
      <c r="H249" s="21" t="s">
        <v>1807</v>
      </c>
      <c r="I249" s="23"/>
      <c r="J249" s="21"/>
      <c r="K249" s="21"/>
      <c r="L249" s="21"/>
      <c r="M249" s="21"/>
      <c r="N249" s="21"/>
    </row>
    <row r="252" spans="1:20">
      <c r="A252" t="s">
        <v>1808</v>
      </c>
      <c r="C252">
        <v>2011</v>
      </c>
      <c r="D252" t="s">
        <v>1795</v>
      </c>
      <c r="E252" t="s">
        <v>1521</v>
      </c>
      <c r="H252" t="s">
        <v>1809</v>
      </c>
    </row>
    <row r="253" spans="1:20">
      <c r="A253" s="48" t="s">
        <v>635</v>
      </c>
      <c r="B253" s="48" t="s">
        <v>636</v>
      </c>
      <c r="C253" s="48">
        <v>2024</v>
      </c>
      <c r="D253" s="48" t="s">
        <v>1810</v>
      </c>
      <c r="E253" s="48" t="s">
        <v>1521</v>
      </c>
      <c r="F253" s="48"/>
      <c r="G253" s="48"/>
      <c r="H253" s="48" t="s">
        <v>1811</v>
      </c>
      <c r="I253" s="71"/>
      <c r="J253" s="48"/>
      <c r="K253" s="48"/>
      <c r="L253" s="48"/>
    </row>
    <row r="256" spans="1:20">
      <c r="A256" t="s">
        <v>643</v>
      </c>
      <c r="C256">
        <v>2021</v>
      </c>
      <c r="D256" t="s">
        <v>1812</v>
      </c>
      <c r="E256" t="s">
        <v>1521</v>
      </c>
      <c r="G256" t="s">
        <v>1530</v>
      </c>
      <c r="H256" t="s">
        <v>1813</v>
      </c>
    </row>
    <row r="257" spans="1:12">
      <c r="A257" s="48" t="s">
        <v>643</v>
      </c>
      <c r="B257" s="48" t="s">
        <v>644</v>
      </c>
      <c r="C257" s="48">
        <v>2023</v>
      </c>
      <c r="D257" s="48" t="s">
        <v>1814</v>
      </c>
      <c r="E257" s="48" t="s">
        <v>1521</v>
      </c>
      <c r="F257" s="48"/>
      <c r="G257" s="48" t="s">
        <v>1533</v>
      </c>
      <c r="H257" s="48" t="s">
        <v>1711</v>
      </c>
      <c r="I257" s="71"/>
      <c r="J257" s="48"/>
      <c r="K257" s="48"/>
      <c r="L257" s="48"/>
    </row>
    <row r="258" spans="1:12">
      <c r="A258" t="s">
        <v>643</v>
      </c>
      <c r="C258">
        <v>2021</v>
      </c>
      <c r="D258" t="s">
        <v>1815</v>
      </c>
      <c r="E258" t="s">
        <v>1521</v>
      </c>
    </row>
    <row r="259" spans="1:12">
      <c r="A259" t="s">
        <v>643</v>
      </c>
      <c r="B259" s="72"/>
      <c r="C259">
        <v>2021</v>
      </c>
      <c r="D259" t="s">
        <v>1816</v>
      </c>
      <c r="E259" t="s">
        <v>1521</v>
      </c>
      <c r="F259" s="72"/>
      <c r="G259" s="72" t="s">
        <v>1538</v>
      </c>
      <c r="H259" t="s">
        <v>1817</v>
      </c>
      <c r="I259" s="78"/>
      <c r="J259" s="72"/>
      <c r="K259" s="72"/>
      <c r="L259" s="72"/>
    </row>
    <row r="260" spans="1:12">
      <c r="A260" t="s">
        <v>643</v>
      </c>
      <c r="C260">
        <v>2015</v>
      </c>
      <c r="D260" t="s">
        <v>1710</v>
      </c>
      <c r="E260" t="s">
        <v>1521</v>
      </c>
      <c r="G260" t="s">
        <v>1546</v>
      </c>
      <c r="H260" t="s">
        <v>1818</v>
      </c>
    </row>
    <row r="261" spans="1:12">
      <c r="A261" t="s">
        <v>643</v>
      </c>
      <c r="C261">
        <v>2016</v>
      </c>
      <c r="D261" t="s">
        <v>1765</v>
      </c>
      <c r="E261" t="s">
        <v>1521</v>
      </c>
      <c r="G261" t="s">
        <v>1581</v>
      </c>
      <c r="H261" t="s">
        <v>1719</v>
      </c>
    </row>
    <row r="263" spans="1:12">
      <c r="B263" s="72"/>
      <c r="F263" s="72"/>
      <c r="G263" s="72"/>
      <c r="H263" s="72"/>
      <c r="I263" s="78"/>
      <c r="J263" s="72"/>
      <c r="K263" s="72"/>
      <c r="L263" s="72"/>
    </row>
    <row r="264" spans="1:12">
      <c r="A264" s="48" t="s">
        <v>1819</v>
      </c>
      <c r="B264" s="69" t="s">
        <v>1820</v>
      </c>
      <c r="C264" s="48">
        <v>2018</v>
      </c>
      <c r="D264" s="48" t="s">
        <v>1763</v>
      </c>
      <c r="E264" s="48" t="s">
        <v>1521</v>
      </c>
      <c r="F264" s="69"/>
      <c r="G264" s="69"/>
      <c r="H264" s="69"/>
      <c r="I264" s="70"/>
      <c r="J264" s="69"/>
      <c r="K264" s="69"/>
      <c r="L264" s="69"/>
    </row>
    <row r="267" spans="1:12">
      <c r="A267" s="48" t="s">
        <v>662</v>
      </c>
      <c r="B267" s="69" t="s">
        <v>663</v>
      </c>
      <c r="C267" s="48">
        <v>2022</v>
      </c>
      <c r="D267" s="48" t="s">
        <v>1821</v>
      </c>
      <c r="E267" s="48" t="s">
        <v>1521</v>
      </c>
      <c r="F267" s="69"/>
      <c r="G267" s="69" t="s">
        <v>1530</v>
      </c>
      <c r="H267" s="69" t="s">
        <v>1822</v>
      </c>
      <c r="I267" s="70"/>
      <c r="J267" s="69"/>
      <c r="K267" s="69"/>
      <c r="L267" s="69"/>
    </row>
    <row r="268" spans="1:12">
      <c r="A268" t="s">
        <v>662</v>
      </c>
      <c r="C268">
        <v>2024</v>
      </c>
      <c r="D268" t="s">
        <v>1823</v>
      </c>
      <c r="E268" t="s">
        <v>1521</v>
      </c>
      <c r="G268" t="s">
        <v>1533</v>
      </c>
      <c r="H268" t="s">
        <v>1818</v>
      </c>
    </row>
    <row r="270" spans="1:12">
      <c r="A270" s="72"/>
    </row>
    <row r="271" spans="1:12">
      <c r="A271" s="48" t="s">
        <v>670</v>
      </c>
      <c r="B271" s="69" t="s">
        <v>671</v>
      </c>
      <c r="C271" s="48">
        <v>2022</v>
      </c>
      <c r="D271" s="48" t="s">
        <v>1824</v>
      </c>
      <c r="E271" s="48" t="s">
        <v>1521</v>
      </c>
      <c r="F271" s="69"/>
      <c r="G271" s="69"/>
      <c r="H271" s="69"/>
      <c r="I271" s="70"/>
      <c r="J271" s="69"/>
      <c r="K271" s="69"/>
      <c r="L271" s="69"/>
    </row>
    <row r="272" spans="1:12">
      <c r="A272" s="72"/>
    </row>
    <row r="274" spans="1:12">
      <c r="A274" t="s">
        <v>678</v>
      </c>
      <c r="B274" s="72"/>
      <c r="C274">
        <v>2022</v>
      </c>
      <c r="D274" t="s">
        <v>1825</v>
      </c>
      <c r="E274" t="s">
        <v>1521</v>
      </c>
      <c r="F274" s="72"/>
      <c r="G274" s="72" t="s">
        <v>1530</v>
      </c>
      <c r="H274" s="72" t="s">
        <v>1826</v>
      </c>
      <c r="I274" s="78"/>
      <c r="J274" s="72"/>
      <c r="K274" s="72"/>
      <c r="L274" s="72"/>
    </row>
    <row r="275" spans="1:12">
      <c r="A275" t="s">
        <v>678</v>
      </c>
      <c r="B275" s="72"/>
      <c r="C275">
        <v>2022</v>
      </c>
      <c r="D275" t="s">
        <v>1827</v>
      </c>
      <c r="E275" t="s">
        <v>1521</v>
      </c>
      <c r="F275" s="72"/>
      <c r="G275" s="72"/>
      <c r="H275" s="72" t="s">
        <v>1828</v>
      </c>
      <c r="I275" s="78"/>
      <c r="J275" s="72"/>
      <c r="K275" s="72"/>
      <c r="L275" s="72"/>
    </row>
    <row r="276" spans="1:12">
      <c r="A276" t="s">
        <v>678</v>
      </c>
      <c r="C276">
        <v>2021</v>
      </c>
      <c r="D276" t="s">
        <v>1829</v>
      </c>
      <c r="E276" t="s">
        <v>1521</v>
      </c>
      <c r="H276" t="s">
        <v>1830</v>
      </c>
    </row>
    <row r="277" spans="1:12">
      <c r="A277" s="48" t="s">
        <v>678</v>
      </c>
      <c r="B277" s="48" t="s">
        <v>679</v>
      </c>
      <c r="C277" s="48">
        <v>2014</v>
      </c>
      <c r="D277" s="48" t="s">
        <v>1831</v>
      </c>
      <c r="E277" s="48" t="s">
        <v>1521</v>
      </c>
      <c r="F277" s="48"/>
      <c r="G277" s="48" t="s">
        <v>1533</v>
      </c>
      <c r="H277" s="48" t="s">
        <v>1832</v>
      </c>
      <c r="I277" s="71"/>
      <c r="J277" s="48"/>
      <c r="K277" s="48"/>
      <c r="L277" s="48"/>
    </row>
    <row r="278" ht="15" spans="1:12">
      <c r="A278" s="66"/>
      <c r="C278" s="66"/>
    </row>
    <row r="279" ht="15" spans="1:12">
      <c r="A279" s="66"/>
      <c r="C279" s="66"/>
    </row>
    <row r="280" spans="1:12">
      <c r="A280" s="48" t="s">
        <v>688</v>
      </c>
      <c r="B280" s="48" t="s">
        <v>689</v>
      </c>
      <c r="C280" s="48">
        <v>2023</v>
      </c>
      <c r="D280" s="48" t="s">
        <v>1833</v>
      </c>
      <c r="E280" s="48" t="s">
        <v>1521</v>
      </c>
      <c r="F280" s="48"/>
      <c r="G280" s="48" t="s">
        <v>1530</v>
      </c>
      <c r="H280" s="48" t="s">
        <v>1834</v>
      </c>
      <c r="I280" s="71"/>
      <c r="J280" s="48"/>
      <c r="K280" s="48"/>
      <c r="L280" s="48"/>
    </row>
    <row r="281" spans="1:12">
      <c r="A281" t="s">
        <v>688</v>
      </c>
      <c r="C281">
        <v>2015</v>
      </c>
      <c r="D281" t="s">
        <v>1775</v>
      </c>
      <c r="E281" t="s">
        <v>1521</v>
      </c>
      <c r="H281" t="s">
        <v>1732</v>
      </c>
    </row>
    <row r="282" spans="1:12">
      <c r="A282" t="s">
        <v>688</v>
      </c>
      <c r="C282">
        <v>2016</v>
      </c>
      <c r="D282" t="s">
        <v>1765</v>
      </c>
      <c r="E282" t="s">
        <v>1521</v>
      </c>
      <c r="G282" t="s">
        <v>1533</v>
      </c>
      <c r="H282" s="72" t="s">
        <v>1835</v>
      </c>
    </row>
    <row r="283" spans="1:12">
      <c r="A283" s="72"/>
    </row>
    <row r="284" ht="15" spans="1:12">
      <c r="A284" s="66"/>
      <c r="C284" s="66"/>
    </row>
    <row r="285" ht="15" spans="1:12">
      <c r="A285" s="66" t="s">
        <v>693</v>
      </c>
      <c r="C285" s="66"/>
    </row>
    <row r="286" spans="1:12">
      <c r="A286" t="s">
        <v>1836</v>
      </c>
      <c r="C286">
        <v>2020</v>
      </c>
      <c r="D286" t="s">
        <v>1837</v>
      </c>
      <c r="E286" t="s">
        <v>1521</v>
      </c>
      <c r="G286" t="s">
        <v>1530</v>
      </c>
      <c r="H286" t="s">
        <v>1838</v>
      </c>
    </row>
    <row r="287" spans="1:12">
      <c r="A287" t="s">
        <v>1836</v>
      </c>
      <c r="C287">
        <v>2015</v>
      </c>
      <c r="D287" t="s">
        <v>1839</v>
      </c>
      <c r="E287" t="s">
        <v>1521</v>
      </c>
      <c r="G287" t="s">
        <v>1533</v>
      </c>
      <c r="H287" t="s">
        <v>1840</v>
      </c>
    </row>
    <row r="288" spans="1:12">
      <c r="A288" t="s">
        <v>1836</v>
      </c>
      <c r="C288">
        <v>2016</v>
      </c>
      <c r="D288" t="s">
        <v>1841</v>
      </c>
      <c r="E288" t="s">
        <v>1521</v>
      </c>
      <c r="H288" t="s">
        <v>1794</v>
      </c>
    </row>
    <row r="289" spans="1:20">
      <c r="A289" t="s">
        <v>1836</v>
      </c>
      <c r="C289">
        <v>2022</v>
      </c>
      <c r="D289" t="s">
        <v>1842</v>
      </c>
      <c r="E289" t="s">
        <v>1521</v>
      </c>
      <c r="H289" t="s">
        <v>1843</v>
      </c>
    </row>
    <row r="290" spans="1:20">
      <c r="A290" s="62" t="s">
        <v>1836</v>
      </c>
      <c r="B290" s="62"/>
      <c r="C290" s="62">
        <v>2018</v>
      </c>
      <c r="D290" s="62" t="s">
        <v>1844</v>
      </c>
      <c r="E290" s="62" t="s">
        <v>1521</v>
      </c>
      <c r="F290" s="62" t="s">
        <v>1845</v>
      </c>
      <c r="G290" s="62"/>
      <c r="H290" s="62"/>
      <c r="I290" s="85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</row>
    <row r="291" spans="1:20">
      <c r="A291" s="48" t="s">
        <v>1836</v>
      </c>
      <c r="B291" s="48" t="s">
        <v>696</v>
      </c>
      <c r="C291" s="48">
        <v>2024</v>
      </c>
      <c r="D291" s="48" t="s">
        <v>1846</v>
      </c>
      <c r="E291" s="48" t="s">
        <v>1521</v>
      </c>
      <c r="F291" s="48"/>
      <c r="G291" s="48" t="s">
        <v>1538</v>
      </c>
      <c r="H291" s="48" t="s">
        <v>1847</v>
      </c>
      <c r="I291" s="71"/>
      <c r="J291" s="48"/>
      <c r="K291" s="48"/>
      <c r="L291" s="48"/>
    </row>
    <row r="292" spans="1:20">
      <c r="A292" t="s">
        <v>1836</v>
      </c>
      <c r="C292">
        <v>2018</v>
      </c>
      <c r="D292" t="s">
        <v>1848</v>
      </c>
      <c r="E292" t="s">
        <v>1521</v>
      </c>
      <c r="G292" t="s">
        <v>1546</v>
      </c>
      <c r="H292" t="s">
        <v>1849</v>
      </c>
    </row>
    <row r="293" spans="1:20">
      <c r="A293" t="s">
        <v>1836</v>
      </c>
      <c r="C293">
        <v>2007</v>
      </c>
      <c r="D293" t="s">
        <v>1850</v>
      </c>
      <c r="E293" t="s">
        <v>1521</v>
      </c>
      <c r="G293" t="s">
        <v>1581</v>
      </c>
      <c r="H293" t="s">
        <v>1840</v>
      </c>
    </row>
    <row r="294" spans="1:20">
      <c r="A294" t="s">
        <v>1836</v>
      </c>
      <c r="C294">
        <v>2007</v>
      </c>
      <c r="D294" t="s">
        <v>1851</v>
      </c>
      <c r="E294" t="s">
        <v>1521</v>
      </c>
      <c r="H294" t="s">
        <v>1852</v>
      </c>
    </row>
    <row r="295" spans="1:20">
      <c r="A295" t="s">
        <v>1836</v>
      </c>
      <c r="C295">
        <v>2016</v>
      </c>
      <c r="D295" t="s">
        <v>1853</v>
      </c>
      <c r="E295" t="s">
        <v>1521</v>
      </c>
      <c r="G295" t="s">
        <v>1583</v>
      </c>
      <c r="H295" t="s">
        <v>1854</v>
      </c>
    </row>
    <row r="296" spans="1:20">
      <c r="A296" t="s">
        <v>1836</v>
      </c>
      <c r="C296">
        <v>2018</v>
      </c>
      <c r="D296" t="s">
        <v>1855</v>
      </c>
      <c r="E296" t="s">
        <v>1521</v>
      </c>
      <c r="G296" t="s">
        <v>1585</v>
      </c>
      <c r="H296" t="s">
        <v>1822</v>
      </c>
    </row>
    <row r="297" spans="1:20">
      <c r="A297" t="s">
        <v>1836</v>
      </c>
      <c r="C297">
        <v>2016</v>
      </c>
      <c r="D297" t="s">
        <v>1765</v>
      </c>
      <c r="E297" t="s">
        <v>1521</v>
      </c>
      <c r="G297" t="s">
        <v>1734</v>
      </c>
      <c r="H297" t="s">
        <v>1711</v>
      </c>
    </row>
    <row r="298" spans="1:20">
      <c r="A298" t="s">
        <v>1836</v>
      </c>
      <c r="B298" s="73"/>
      <c r="C298" s="73">
        <v>2000</v>
      </c>
      <c r="D298" s="73" t="s">
        <v>1856</v>
      </c>
      <c r="E298" s="72" t="s">
        <v>1521</v>
      </c>
      <c r="F298" s="73"/>
      <c r="G298" s="73"/>
      <c r="H298" t="s">
        <v>1857</v>
      </c>
      <c r="J298" s="73"/>
      <c r="K298" s="73"/>
      <c r="L298" s="73"/>
    </row>
    <row r="299" spans="1:20">
      <c r="A299" t="s">
        <v>1836</v>
      </c>
      <c r="C299">
        <v>2010</v>
      </c>
      <c r="D299" t="s">
        <v>1858</v>
      </c>
      <c r="E299" t="s">
        <v>1521</v>
      </c>
      <c r="G299" t="s">
        <v>1859</v>
      </c>
      <c r="H299" t="s">
        <v>1721</v>
      </c>
    </row>
    <row r="300" spans="1:20">
      <c r="A300" s="21" t="s">
        <v>1860</v>
      </c>
      <c r="B300" s="21"/>
      <c r="C300" s="21">
        <v>2025</v>
      </c>
      <c r="D300" s="21" t="s">
        <v>1861</v>
      </c>
      <c r="E300" s="21" t="s">
        <v>1521</v>
      </c>
      <c r="F300" s="21"/>
      <c r="G300" s="21" t="s">
        <v>1862</v>
      </c>
      <c r="H300" s="21" t="s">
        <v>1711</v>
      </c>
      <c r="I300" s="23"/>
      <c r="J300" s="21"/>
      <c r="K300" s="21"/>
      <c r="L300" s="21"/>
      <c r="M300" s="21"/>
      <c r="N300" s="21"/>
    </row>
    <row r="301" spans="1:20">
      <c r="A301" s="21" t="s">
        <v>1860</v>
      </c>
      <c r="B301" s="21"/>
      <c r="C301" s="21">
        <v>2006</v>
      </c>
      <c r="D301" s="21" t="s">
        <v>1863</v>
      </c>
      <c r="E301" s="21" t="s">
        <v>1521</v>
      </c>
      <c r="F301" s="21"/>
      <c r="G301" s="21" t="s">
        <v>1864</v>
      </c>
      <c r="H301" s="21" t="s">
        <v>1822</v>
      </c>
      <c r="I301" s="23"/>
      <c r="J301" s="21"/>
      <c r="K301" s="21"/>
      <c r="L301" s="21"/>
      <c r="M301" s="21"/>
      <c r="N301" s="21"/>
    </row>
    <row r="302" spans="1:20">
      <c r="A302" s="21" t="s">
        <v>1860</v>
      </c>
      <c r="B302" s="21"/>
      <c r="C302" s="21">
        <v>2025</v>
      </c>
      <c r="D302" s="21" t="s">
        <v>1865</v>
      </c>
      <c r="E302" s="21" t="s">
        <v>1521</v>
      </c>
      <c r="F302" s="21"/>
      <c r="G302" s="21" t="s">
        <v>1866</v>
      </c>
      <c r="H302" s="21" t="s">
        <v>1727</v>
      </c>
      <c r="I302" s="23"/>
      <c r="J302" s="21"/>
      <c r="K302" s="21"/>
      <c r="L302" s="21"/>
      <c r="M302" s="21"/>
      <c r="N302" s="21"/>
    </row>
    <row r="303" ht="15" spans="1:20">
      <c r="A303" s="66"/>
      <c r="C303" s="66"/>
    </row>
    <row r="304" ht="15" spans="1:20">
      <c r="A304" s="66"/>
      <c r="C304" s="66"/>
    </row>
    <row r="305" spans="1:14">
      <c r="A305" t="s">
        <v>1867</v>
      </c>
      <c r="C305">
        <v>2014</v>
      </c>
      <c r="D305" t="s">
        <v>1868</v>
      </c>
      <c r="E305" t="s">
        <v>1521</v>
      </c>
      <c r="G305" t="s">
        <v>1530</v>
      </c>
      <c r="H305" t="s">
        <v>1727</v>
      </c>
    </row>
    <row r="306" spans="1:14">
      <c r="A306" t="s">
        <v>1867</v>
      </c>
      <c r="C306">
        <v>2015</v>
      </c>
      <c r="D306" t="s">
        <v>1869</v>
      </c>
      <c r="E306" t="s">
        <v>1521</v>
      </c>
      <c r="G306" t="s">
        <v>1533</v>
      </c>
      <c r="H306" t="s">
        <v>1854</v>
      </c>
    </row>
    <row r="307" spans="1:14">
      <c r="A307" t="s">
        <v>1867</v>
      </c>
      <c r="C307">
        <v>2005</v>
      </c>
      <c r="D307" t="s">
        <v>1870</v>
      </c>
      <c r="E307" t="s">
        <v>1521</v>
      </c>
      <c r="G307" t="s">
        <v>1538</v>
      </c>
      <c r="H307" t="s">
        <v>1849</v>
      </c>
    </row>
    <row r="308" spans="1:14">
      <c r="A308" t="s">
        <v>1867</v>
      </c>
      <c r="C308">
        <v>2015</v>
      </c>
      <c r="D308" t="s">
        <v>1871</v>
      </c>
      <c r="E308" t="s">
        <v>1521</v>
      </c>
      <c r="G308" t="s">
        <v>1546</v>
      </c>
      <c r="H308" t="s">
        <v>1872</v>
      </c>
    </row>
    <row r="309" spans="1:14">
      <c r="A309" t="s">
        <v>1867</v>
      </c>
      <c r="C309">
        <v>2007</v>
      </c>
      <c r="D309" t="s">
        <v>1873</v>
      </c>
      <c r="E309" t="s">
        <v>1521</v>
      </c>
      <c r="G309" t="s">
        <v>1581</v>
      </c>
      <c r="H309" t="s">
        <v>1730</v>
      </c>
    </row>
    <row r="310" spans="1:14">
      <c r="A310" t="s">
        <v>1867</v>
      </c>
      <c r="C310">
        <v>2008</v>
      </c>
      <c r="D310" t="s">
        <v>1874</v>
      </c>
      <c r="E310" t="s">
        <v>1521</v>
      </c>
      <c r="G310" t="s">
        <v>1583</v>
      </c>
      <c r="H310" t="s">
        <v>1875</v>
      </c>
    </row>
    <row r="311" spans="1:14">
      <c r="A311" s="48" t="s">
        <v>1867</v>
      </c>
      <c r="B311" s="48" t="s">
        <v>703</v>
      </c>
      <c r="C311" s="48">
        <v>2024</v>
      </c>
      <c r="D311" s="48" t="s">
        <v>1876</v>
      </c>
      <c r="E311" s="48" t="s">
        <v>1521</v>
      </c>
      <c r="F311" s="48"/>
      <c r="G311" s="48" t="s">
        <v>1585</v>
      </c>
      <c r="H311" s="48" t="s">
        <v>1877</v>
      </c>
      <c r="I311" s="71"/>
      <c r="J311" s="48"/>
      <c r="K311" s="48"/>
      <c r="L311" s="48"/>
    </row>
    <row r="312" spans="1:14">
      <c r="A312" t="s">
        <v>1867</v>
      </c>
      <c r="C312">
        <v>2006</v>
      </c>
      <c r="D312" t="s">
        <v>1870</v>
      </c>
      <c r="E312" t="s">
        <v>1521</v>
      </c>
      <c r="G312" t="s">
        <v>1734</v>
      </c>
      <c r="H312" t="s">
        <v>1727</v>
      </c>
    </row>
    <row r="313" spans="1:14">
      <c r="A313" t="s">
        <v>1867</v>
      </c>
      <c r="C313">
        <v>2023</v>
      </c>
      <c r="D313" t="s">
        <v>1718</v>
      </c>
      <c r="E313" t="s">
        <v>1521</v>
      </c>
      <c r="G313" t="s">
        <v>1859</v>
      </c>
      <c r="H313" t="s">
        <v>1834</v>
      </c>
    </row>
    <row r="314" spans="1:14">
      <c r="A314" t="s">
        <v>1867</v>
      </c>
      <c r="C314">
        <v>2009</v>
      </c>
      <c r="D314" t="s">
        <v>1878</v>
      </c>
      <c r="E314" t="s">
        <v>1521</v>
      </c>
      <c r="G314" t="s">
        <v>1862</v>
      </c>
      <c r="H314" t="s">
        <v>1879</v>
      </c>
    </row>
    <row r="315" spans="1:14">
      <c r="A315" t="s">
        <v>1867</v>
      </c>
      <c r="C315">
        <v>2013</v>
      </c>
      <c r="D315" t="s">
        <v>1880</v>
      </c>
      <c r="E315" t="s">
        <v>1521</v>
      </c>
      <c r="G315" t="s">
        <v>1864</v>
      </c>
      <c r="H315" t="s">
        <v>1879</v>
      </c>
    </row>
    <row r="316" spans="1:14">
      <c r="A316" t="s">
        <v>1867</v>
      </c>
      <c r="C316">
        <v>2018</v>
      </c>
      <c r="D316" t="s">
        <v>1855</v>
      </c>
      <c r="E316" t="s">
        <v>1521</v>
      </c>
      <c r="G316" t="s">
        <v>1866</v>
      </c>
      <c r="H316" t="s">
        <v>1711</v>
      </c>
    </row>
    <row r="317" spans="1:14">
      <c r="A317" t="s">
        <v>1867</v>
      </c>
      <c r="C317">
        <v>2021</v>
      </c>
      <c r="D317" t="s">
        <v>1881</v>
      </c>
      <c r="E317" t="s">
        <v>1521</v>
      </c>
      <c r="G317" t="s">
        <v>1882</v>
      </c>
      <c r="H317" t="s">
        <v>1719</v>
      </c>
    </row>
    <row r="318" spans="1:14">
      <c r="A318" s="21" t="s">
        <v>1883</v>
      </c>
      <c r="B318" s="21"/>
      <c r="C318" s="21">
        <v>2025</v>
      </c>
      <c r="D318" s="21" t="s">
        <v>1884</v>
      </c>
      <c r="E318" s="21" t="s">
        <v>1521</v>
      </c>
      <c r="F318" s="21"/>
      <c r="G318" s="21" t="s">
        <v>1885</v>
      </c>
      <c r="H318" s="21" t="s">
        <v>1886</v>
      </c>
      <c r="I318" s="23"/>
      <c r="J318" s="21"/>
      <c r="K318" s="21"/>
      <c r="L318" s="21"/>
      <c r="M318" s="21"/>
      <c r="N318" s="21"/>
    </row>
    <row r="319" ht="15" spans="1:14">
      <c r="A319" s="66"/>
      <c r="C319" s="66"/>
    </row>
    <row r="320" spans="1:14">
      <c r="A320" s="48" t="s">
        <v>1887</v>
      </c>
      <c r="B320" s="48" t="s">
        <v>710</v>
      </c>
      <c r="C320" s="48">
        <v>2023</v>
      </c>
      <c r="D320" s="48" t="s">
        <v>1888</v>
      </c>
      <c r="E320" s="48" t="s">
        <v>1521</v>
      </c>
      <c r="F320" s="48"/>
      <c r="G320" s="48" t="s">
        <v>1530</v>
      </c>
      <c r="H320" s="48" t="s">
        <v>1727</v>
      </c>
      <c r="I320" s="71"/>
      <c r="J320" s="48"/>
      <c r="K320" s="48"/>
      <c r="L320" s="48"/>
    </row>
    <row r="321" spans="1:20">
      <c r="A321" t="s">
        <v>1887</v>
      </c>
      <c r="C321">
        <v>2018</v>
      </c>
      <c r="D321" t="s">
        <v>1889</v>
      </c>
      <c r="E321" t="s">
        <v>1521</v>
      </c>
      <c r="G321" t="s">
        <v>1533</v>
      </c>
      <c r="H321" t="s">
        <v>1890</v>
      </c>
    </row>
    <row r="322" spans="1:20">
      <c r="A322" t="s">
        <v>1887</v>
      </c>
      <c r="C322">
        <v>2012</v>
      </c>
      <c r="D322" t="s">
        <v>1891</v>
      </c>
      <c r="E322" t="s">
        <v>1521</v>
      </c>
      <c r="G322" t="s">
        <v>1538</v>
      </c>
      <c r="H322" t="s">
        <v>1813</v>
      </c>
    </row>
    <row r="323" spans="1:20">
      <c r="A323" t="s">
        <v>1887</v>
      </c>
      <c r="C323">
        <v>2016</v>
      </c>
      <c r="D323" t="s">
        <v>1892</v>
      </c>
      <c r="E323" t="s">
        <v>1521</v>
      </c>
      <c r="G323" t="s">
        <v>1546</v>
      </c>
      <c r="H323" t="s">
        <v>1721</v>
      </c>
    </row>
    <row r="324" ht="15" spans="1:20">
      <c r="A324" s="66"/>
      <c r="C324" s="66"/>
    </row>
    <row r="325" spans="1:20">
      <c r="A325" s="48" t="s">
        <v>716</v>
      </c>
      <c r="B325" s="48" t="s">
        <v>717</v>
      </c>
      <c r="C325" s="48">
        <v>2011</v>
      </c>
      <c r="D325" s="48" t="s">
        <v>1893</v>
      </c>
      <c r="E325" s="48" t="s">
        <v>1521</v>
      </c>
      <c r="F325" s="48"/>
      <c r="G325" s="48" t="s">
        <v>1530</v>
      </c>
      <c r="H325" s="48" t="s">
        <v>1894</v>
      </c>
      <c r="I325" s="71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</row>
    <row r="326" spans="1:20">
      <c r="A326" t="s">
        <v>716</v>
      </c>
      <c r="C326">
        <v>2016</v>
      </c>
      <c r="D326" t="s">
        <v>1895</v>
      </c>
      <c r="E326" t="s">
        <v>1521</v>
      </c>
      <c r="G326" t="s">
        <v>1533</v>
      </c>
      <c r="H326" t="s">
        <v>1771</v>
      </c>
    </row>
    <row r="327" ht="15" spans="1:20">
      <c r="A327" s="66"/>
      <c r="C327" s="66"/>
    </row>
    <row r="328" spans="1:20">
      <c r="A328" s="48" t="s">
        <v>722</v>
      </c>
      <c r="B328" s="48" t="s">
        <v>717</v>
      </c>
      <c r="C328" s="48">
        <v>2011</v>
      </c>
      <c r="D328" s="48" t="s">
        <v>1893</v>
      </c>
      <c r="E328" s="48" t="s">
        <v>1521</v>
      </c>
      <c r="F328" s="48"/>
      <c r="G328" s="48" t="s">
        <v>1530</v>
      </c>
      <c r="H328" s="48" t="s">
        <v>1802</v>
      </c>
      <c r="I328" s="71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</row>
    <row r="329" spans="1:20">
      <c r="A329" t="s">
        <v>722</v>
      </c>
      <c r="C329">
        <v>2016</v>
      </c>
      <c r="D329" t="s">
        <v>1895</v>
      </c>
      <c r="E329" t="s">
        <v>1521</v>
      </c>
      <c r="G329" t="s">
        <v>1533</v>
      </c>
      <c r="H329" t="s">
        <v>1896</v>
      </c>
    </row>
    <row r="330" ht="15" spans="1:20">
      <c r="A330" s="66"/>
      <c r="C330" s="66"/>
    </row>
    <row r="331" ht="15" spans="1:20">
      <c r="A331" s="66"/>
      <c r="C331" s="66"/>
    </row>
    <row r="332" spans="1:20">
      <c r="A332" s="48" t="s">
        <v>727</v>
      </c>
      <c r="B332" s="48" t="s">
        <v>749</v>
      </c>
      <c r="C332" s="48">
        <v>2020</v>
      </c>
      <c r="D332" s="48" t="s">
        <v>1897</v>
      </c>
      <c r="E332" s="48" t="s">
        <v>1521</v>
      </c>
      <c r="F332" s="48"/>
      <c r="G332" s="48"/>
      <c r="H332" s="48"/>
      <c r="I332" s="71"/>
      <c r="J332" s="48"/>
      <c r="K332" s="48"/>
      <c r="L332" s="48"/>
      <c r="M332" s="48" t="s">
        <v>1530</v>
      </c>
      <c r="N332" s="48" t="s">
        <v>1898</v>
      </c>
    </row>
    <row r="333" spans="1:20">
      <c r="A333" s="48" t="s">
        <v>727</v>
      </c>
      <c r="B333" s="48" t="s">
        <v>734</v>
      </c>
      <c r="C333" s="48">
        <v>2019</v>
      </c>
      <c r="D333" s="48" t="s">
        <v>1899</v>
      </c>
      <c r="E333" s="48" t="s">
        <v>1521</v>
      </c>
      <c r="F333" s="48"/>
      <c r="G333" s="48"/>
      <c r="H333" s="48"/>
      <c r="I333" s="71"/>
      <c r="J333" s="48" t="s">
        <v>1900</v>
      </c>
      <c r="K333" s="48" t="s">
        <v>1530</v>
      </c>
      <c r="L333" s="48" t="s">
        <v>1901</v>
      </c>
      <c r="M333" s="48"/>
      <c r="N333" s="48"/>
      <c r="O333" s="48"/>
      <c r="P333" s="48"/>
      <c r="Q333" s="48"/>
      <c r="R333" s="48"/>
      <c r="S333" s="48"/>
      <c r="T333" s="48"/>
    </row>
    <row r="334" spans="1:20">
      <c r="A334" s="48" t="s">
        <v>727</v>
      </c>
      <c r="B334" s="48" t="s">
        <v>728</v>
      </c>
      <c r="C334" s="48">
        <v>2012</v>
      </c>
      <c r="D334" s="48" t="s">
        <v>1902</v>
      </c>
      <c r="E334" s="48" t="s">
        <v>1521</v>
      </c>
      <c r="F334" s="48"/>
      <c r="G334" s="48" t="s">
        <v>1530</v>
      </c>
      <c r="H334" s="48" t="s">
        <v>1903</v>
      </c>
      <c r="I334" s="71"/>
      <c r="J334" s="48"/>
      <c r="K334" s="48"/>
      <c r="L334" s="48"/>
      <c r="M334" s="48"/>
      <c r="N334" s="48"/>
    </row>
    <row r="335" spans="1:20">
      <c r="A335" s="48" t="s">
        <v>727</v>
      </c>
      <c r="B335" s="48" t="s">
        <v>741</v>
      </c>
      <c r="C335" s="48">
        <v>2011</v>
      </c>
      <c r="D335" s="48" t="s">
        <v>1904</v>
      </c>
      <c r="E335" s="48" t="s">
        <v>1521</v>
      </c>
      <c r="F335" s="48"/>
      <c r="G335" s="48"/>
      <c r="H335" s="48"/>
      <c r="I335" s="71"/>
      <c r="J335" s="48"/>
      <c r="K335" s="48" t="s">
        <v>1533</v>
      </c>
      <c r="L335" s="48" t="s">
        <v>1905</v>
      </c>
      <c r="M335" s="48"/>
      <c r="N335" s="48"/>
    </row>
    <row r="336" spans="1:20">
      <c r="A336" t="s">
        <v>727</v>
      </c>
      <c r="C336">
        <v>2016</v>
      </c>
      <c r="D336" t="s">
        <v>1895</v>
      </c>
      <c r="E336" t="s">
        <v>1521</v>
      </c>
      <c r="G336" t="s">
        <v>1533</v>
      </c>
      <c r="H336" t="s">
        <v>1783</v>
      </c>
    </row>
    <row r="337" spans="1:14">
      <c r="A337" t="s">
        <v>727</v>
      </c>
      <c r="C337">
        <v>2018</v>
      </c>
      <c r="D337" t="s">
        <v>1537</v>
      </c>
      <c r="E337" t="s">
        <v>1521</v>
      </c>
      <c r="M337" t="s">
        <v>1533</v>
      </c>
      <c r="N337" t="s">
        <v>1906</v>
      </c>
    </row>
    <row r="340" spans="1:14">
      <c r="A340" t="s">
        <v>764</v>
      </c>
      <c r="C340">
        <v>2016</v>
      </c>
      <c r="D340" t="s">
        <v>1907</v>
      </c>
      <c r="E340" t="s">
        <v>1521</v>
      </c>
      <c r="G340" t="s">
        <v>1530</v>
      </c>
      <c r="H340" t="s">
        <v>1908</v>
      </c>
      <c r="I340" s="63" t="s">
        <v>1530</v>
      </c>
      <c r="J340" t="s">
        <v>1909</v>
      </c>
      <c r="K340" t="s">
        <v>1530</v>
      </c>
      <c r="L340" t="s">
        <v>1910</v>
      </c>
      <c r="M340" t="s">
        <v>1530</v>
      </c>
      <c r="N340" t="s">
        <v>1911</v>
      </c>
    </row>
    <row r="341" spans="1:14">
      <c r="A341" t="s">
        <v>764</v>
      </c>
      <c r="C341">
        <v>2016</v>
      </c>
      <c r="D341" t="s">
        <v>1895</v>
      </c>
      <c r="E341" t="s">
        <v>1521</v>
      </c>
      <c r="G341" t="s">
        <v>1533</v>
      </c>
      <c r="H341" t="s">
        <v>1912</v>
      </c>
    </row>
    <row r="342" spans="1:14">
      <c r="A342" s="48" t="s">
        <v>764</v>
      </c>
      <c r="B342" s="48" t="s">
        <v>734</v>
      </c>
      <c r="C342" s="48">
        <v>2019</v>
      </c>
      <c r="D342" s="48" t="s">
        <v>1899</v>
      </c>
      <c r="E342" s="48" t="s">
        <v>1521</v>
      </c>
      <c r="F342" s="48"/>
      <c r="G342" s="48"/>
      <c r="H342" s="48"/>
      <c r="I342" s="71" t="s">
        <v>1533</v>
      </c>
      <c r="J342" s="48" t="s">
        <v>1913</v>
      </c>
      <c r="K342" s="48" t="s">
        <v>1533</v>
      </c>
      <c r="L342" s="48" t="s">
        <v>1914</v>
      </c>
    </row>
    <row r="343" spans="1:14">
      <c r="A343" s="48" t="s">
        <v>764</v>
      </c>
      <c r="B343" s="48"/>
      <c r="C343" s="48">
        <v>2012</v>
      </c>
      <c r="D343" s="48" t="s">
        <v>1902</v>
      </c>
      <c r="E343" s="48" t="s">
        <v>1521</v>
      </c>
      <c r="F343" s="48"/>
      <c r="G343" s="48" t="s">
        <v>1538</v>
      </c>
      <c r="H343" s="48" t="s">
        <v>1915</v>
      </c>
      <c r="I343" s="71"/>
      <c r="J343" s="48"/>
      <c r="K343" s="48"/>
      <c r="L343" s="48"/>
      <c r="M343" s="48"/>
      <c r="N343" s="48"/>
    </row>
    <row r="344" spans="1:14">
      <c r="A344" t="s">
        <v>764</v>
      </c>
      <c r="C344">
        <v>2018</v>
      </c>
      <c r="D344" t="s">
        <v>1537</v>
      </c>
      <c r="E344" t="s">
        <v>1521</v>
      </c>
      <c r="M344" t="s">
        <v>1533</v>
      </c>
      <c r="N344" t="s">
        <v>1906</v>
      </c>
    </row>
    <row r="345" spans="1:14">
      <c r="A345" s="72"/>
    </row>
    <row r="346" spans="1:14">
      <c r="A346" t="s">
        <v>1916</v>
      </c>
      <c r="C346">
        <v>2009</v>
      </c>
      <c r="D346" t="s">
        <v>1917</v>
      </c>
      <c r="E346" t="s">
        <v>1521</v>
      </c>
      <c r="G346" t="s">
        <v>1530</v>
      </c>
      <c r="H346" s="27" t="s">
        <v>1854</v>
      </c>
    </row>
    <row r="347" spans="1:14">
      <c r="A347" t="s">
        <v>1916</v>
      </c>
      <c r="C347">
        <v>2018</v>
      </c>
      <c r="D347" t="s">
        <v>1918</v>
      </c>
      <c r="E347" t="s">
        <v>1521</v>
      </c>
      <c r="G347" t="s">
        <v>1533</v>
      </c>
      <c r="H347" s="27" t="s">
        <v>1813</v>
      </c>
    </row>
    <row r="348" spans="1:14">
      <c r="A348" t="s">
        <v>1916</v>
      </c>
      <c r="C348">
        <v>2023</v>
      </c>
      <c r="D348" t="s">
        <v>1718</v>
      </c>
      <c r="E348" t="s">
        <v>1521</v>
      </c>
      <c r="G348" t="s">
        <v>1538</v>
      </c>
      <c r="H348" s="27" t="s">
        <v>1719</v>
      </c>
    </row>
    <row r="349" spans="1:14">
      <c r="A349" s="48" t="s">
        <v>1916</v>
      </c>
      <c r="B349" s="48" t="s">
        <v>780</v>
      </c>
      <c r="C349" s="48">
        <v>2018</v>
      </c>
      <c r="D349" s="48" t="s">
        <v>1919</v>
      </c>
      <c r="E349" s="48" t="s">
        <v>1521</v>
      </c>
      <c r="F349" s="48"/>
      <c r="G349" s="48" t="s">
        <v>1546</v>
      </c>
      <c r="H349" s="34" t="s">
        <v>1890</v>
      </c>
      <c r="I349" s="71"/>
      <c r="J349" s="48"/>
      <c r="K349" s="48"/>
      <c r="L349" s="48"/>
    </row>
    <row r="350" spans="1:14">
      <c r="A350" t="s">
        <v>1916</v>
      </c>
      <c r="C350">
        <v>2016</v>
      </c>
      <c r="D350" t="s">
        <v>1892</v>
      </c>
      <c r="E350" t="s">
        <v>1521</v>
      </c>
      <c r="G350" t="s">
        <v>1581</v>
      </c>
      <c r="H350" s="27" t="s">
        <v>1890</v>
      </c>
    </row>
    <row r="351" spans="1:14">
      <c r="A351" s="25" t="s">
        <v>1920</v>
      </c>
      <c r="B351" s="21"/>
      <c r="C351" s="21">
        <v>2025</v>
      </c>
      <c r="D351" s="21" t="s">
        <v>1921</v>
      </c>
      <c r="E351" s="21" t="s">
        <v>1521</v>
      </c>
      <c r="F351" s="21"/>
      <c r="G351" s="21" t="s">
        <v>1583</v>
      </c>
      <c r="H351" s="21" t="s">
        <v>1822</v>
      </c>
      <c r="I351" s="23"/>
      <c r="J351" s="21"/>
      <c r="K351" s="21"/>
      <c r="L351" s="21"/>
      <c r="M351" s="21"/>
      <c r="N351" s="21"/>
    </row>
    <row r="352" spans="1:14">
      <c r="A352" s="72"/>
    </row>
    <row r="353" spans="1:12">
      <c r="A353" s="48" t="s">
        <v>790</v>
      </c>
      <c r="B353" s="48" t="s">
        <v>791</v>
      </c>
      <c r="C353" s="48">
        <v>2016</v>
      </c>
      <c r="D353" s="48" t="s">
        <v>1892</v>
      </c>
      <c r="E353" s="48" t="s">
        <v>1521</v>
      </c>
      <c r="F353" s="48"/>
      <c r="G353" s="48"/>
      <c r="H353" s="48" t="s">
        <v>1922</v>
      </c>
      <c r="I353" s="71"/>
      <c r="J353" s="48"/>
      <c r="K353" s="48"/>
      <c r="L353" s="48"/>
    </row>
    <row r="354" s="48" customFormat="1" spans="1:12">
      <c r="A354" s="48" t="s">
        <v>790</v>
      </c>
      <c r="B354" s="48" t="s">
        <v>796</v>
      </c>
      <c r="C354" s="48">
        <v>2016</v>
      </c>
      <c r="D354" s="48" t="s">
        <v>1895</v>
      </c>
      <c r="E354" s="48" t="s">
        <v>1521</v>
      </c>
      <c r="I354" s="71"/>
      <c r="J354" s="48" t="s">
        <v>1923</v>
      </c>
    </row>
    <row r="355" spans="1:12">
      <c r="A355" s="72"/>
    </row>
    <row r="356" spans="1:12">
      <c r="A356" s="48" t="s">
        <v>800</v>
      </c>
      <c r="B356" s="48" t="s">
        <v>801</v>
      </c>
      <c r="C356" s="48">
        <v>2020</v>
      </c>
      <c r="D356" s="48" t="s">
        <v>1924</v>
      </c>
      <c r="E356" s="48" t="s">
        <v>1521</v>
      </c>
      <c r="F356" s="48"/>
      <c r="G356" s="48"/>
      <c r="H356" s="48"/>
      <c r="I356" s="71"/>
      <c r="J356" s="48"/>
      <c r="K356" s="48"/>
      <c r="L356" s="48"/>
    </row>
    <row r="357" ht="15" spans="1:12">
      <c r="A357" s="66"/>
      <c r="C357" s="66"/>
    </row>
    <row r="359" spans="1:12">
      <c r="A359" s="48" t="s">
        <v>806</v>
      </c>
      <c r="B359" s="48" t="s">
        <v>791</v>
      </c>
      <c r="C359" s="48">
        <v>2016</v>
      </c>
      <c r="D359" s="48" t="s">
        <v>1892</v>
      </c>
      <c r="E359" s="48" t="s">
        <v>1521</v>
      </c>
      <c r="F359" s="48"/>
      <c r="G359" s="48"/>
      <c r="H359" s="48"/>
      <c r="I359" s="71"/>
      <c r="J359" s="48"/>
      <c r="K359" s="48"/>
      <c r="L359" s="48"/>
    </row>
    <row r="361" spans="1:12">
      <c r="A361" s="48" t="s">
        <v>811</v>
      </c>
      <c r="B361" s="48" t="s">
        <v>791</v>
      </c>
      <c r="C361" s="48">
        <v>2016</v>
      </c>
      <c r="D361" s="48" t="s">
        <v>1892</v>
      </c>
      <c r="E361" s="48" t="s">
        <v>1521</v>
      </c>
      <c r="F361" s="48"/>
      <c r="G361" s="48"/>
      <c r="H361" s="48"/>
      <c r="I361" s="71"/>
      <c r="J361" s="48"/>
      <c r="K361" s="48"/>
      <c r="L361" s="48"/>
    </row>
    <row r="363" spans="1:12">
      <c r="A363" s="48" t="s">
        <v>1444</v>
      </c>
      <c r="B363" s="48" t="s">
        <v>796</v>
      </c>
      <c r="C363" s="48">
        <v>2016</v>
      </c>
      <c r="D363" s="48" t="s">
        <v>1895</v>
      </c>
      <c r="E363" s="48" t="s">
        <v>1521</v>
      </c>
      <c r="F363" s="48"/>
      <c r="G363" s="48"/>
      <c r="H363" s="48"/>
      <c r="I363" s="71"/>
      <c r="J363" s="48"/>
      <c r="K363" s="48"/>
      <c r="L363" s="48"/>
    </row>
    <row r="364" ht="15" spans="1:12">
      <c r="A364" s="66"/>
      <c r="C364" s="66"/>
    </row>
    <row r="365" ht="15" spans="1:12">
      <c r="A365" s="66"/>
      <c r="C365" s="66"/>
    </row>
    <row r="366" spans="1:12">
      <c r="A366" s="89" t="s">
        <v>1925</v>
      </c>
      <c r="B366" s="43"/>
      <c r="C366" s="89">
        <v>2022</v>
      </c>
      <c r="D366" s="89" t="s">
        <v>1926</v>
      </c>
      <c r="E366" s="89" t="s">
        <v>1521</v>
      </c>
      <c r="F366" s="43"/>
      <c r="G366" s="43" t="s">
        <v>1530</v>
      </c>
      <c r="H366" s="43" t="s">
        <v>1818</v>
      </c>
      <c r="I366" s="90"/>
      <c r="J366" s="43"/>
      <c r="K366" s="89"/>
      <c r="L366" s="89"/>
    </row>
    <row r="367" spans="1:12">
      <c r="A367" s="48" t="s">
        <v>1925</v>
      </c>
      <c r="B367" s="48" t="s">
        <v>822</v>
      </c>
      <c r="C367" s="48">
        <v>2024</v>
      </c>
      <c r="D367" s="48" t="s">
        <v>1927</v>
      </c>
      <c r="E367" s="48" t="s">
        <v>1521</v>
      </c>
      <c r="F367" s="48"/>
      <c r="G367" s="34" t="s">
        <v>1533</v>
      </c>
      <c r="H367" s="53" t="s">
        <v>1713</v>
      </c>
      <c r="I367" s="71"/>
      <c r="J367" s="48"/>
      <c r="K367" s="48"/>
      <c r="L367" s="48"/>
    </row>
    <row r="368" spans="1:12">
      <c r="A368" t="s">
        <v>1925</v>
      </c>
      <c r="C368">
        <v>2016</v>
      </c>
      <c r="D368" t="s">
        <v>1892</v>
      </c>
      <c r="E368" t="s">
        <v>1521</v>
      </c>
      <c r="G368" s="27" t="s">
        <v>1538</v>
      </c>
      <c r="H368" s="27" t="s">
        <v>1928</v>
      </c>
    </row>
    <row r="369" ht="17.5" spans="1:14">
      <c r="C369" s="86"/>
      <c r="G369" s="27"/>
      <c r="H369" s="27"/>
    </row>
    <row r="370" ht="17.5" spans="1:14">
      <c r="C370" s="86"/>
    </row>
    <row r="371" spans="1:14">
      <c r="A371" s="48" t="s">
        <v>1929</v>
      </c>
      <c r="B371" s="48" t="s">
        <v>829</v>
      </c>
      <c r="C371" s="48">
        <v>2022</v>
      </c>
      <c r="D371" s="48" t="s">
        <v>1926</v>
      </c>
      <c r="E371" s="48" t="s">
        <v>1521</v>
      </c>
      <c r="F371" s="48"/>
      <c r="G371" s="48"/>
      <c r="H371" s="48"/>
      <c r="I371" s="71"/>
      <c r="J371" s="48"/>
      <c r="K371" s="48"/>
      <c r="L371" s="48"/>
      <c r="M371" s="48"/>
      <c r="N371" s="48"/>
    </row>
    <row r="372" ht="15" spans="1:14">
      <c r="A372" s="66"/>
      <c r="C372" s="66"/>
    </row>
    <row r="373" ht="15" spans="1:14">
      <c r="A373" s="66"/>
      <c r="C373" s="66"/>
    </row>
    <row r="374" s="48" customFormat="1" spans="1:14">
      <c r="A374" s="48" t="s">
        <v>869</v>
      </c>
      <c r="B374" s="48" t="s">
        <v>877</v>
      </c>
      <c r="C374" s="48">
        <v>2018</v>
      </c>
      <c r="D374" s="48" t="s">
        <v>1537</v>
      </c>
      <c r="E374" s="48" t="s">
        <v>1521</v>
      </c>
      <c r="I374" s="71" t="s">
        <v>1530</v>
      </c>
      <c r="J374" s="48" t="s">
        <v>1930</v>
      </c>
    </row>
    <row r="375" spans="1:14">
      <c r="A375" t="s">
        <v>869</v>
      </c>
      <c r="C375">
        <v>2016</v>
      </c>
      <c r="D375" t="s">
        <v>1931</v>
      </c>
      <c r="E375" t="s">
        <v>1521</v>
      </c>
      <c r="G375" t="s">
        <v>1530</v>
      </c>
      <c r="H375" t="s">
        <v>1932</v>
      </c>
    </row>
    <row r="376" spans="1:14">
      <c r="A376" t="s">
        <v>869</v>
      </c>
      <c r="C376">
        <v>2024</v>
      </c>
      <c r="D376" t="s">
        <v>1933</v>
      </c>
      <c r="E376" t="s">
        <v>1521</v>
      </c>
      <c r="G376" t="s">
        <v>1533</v>
      </c>
      <c r="H376" t="s">
        <v>1912</v>
      </c>
      <c r="I376" s="63" t="s">
        <v>1533</v>
      </c>
      <c r="J376" t="s">
        <v>1934</v>
      </c>
    </row>
    <row r="377" spans="1:14">
      <c r="A377" t="s">
        <v>869</v>
      </c>
      <c r="C377">
        <v>2014</v>
      </c>
      <c r="D377" t="s">
        <v>1935</v>
      </c>
      <c r="E377" t="s">
        <v>1521</v>
      </c>
      <c r="G377" t="s">
        <v>1538</v>
      </c>
      <c r="H377" t="s">
        <v>1936</v>
      </c>
    </row>
    <row r="378" s="62" customFormat="1" spans="1:14">
      <c r="A378" s="62" t="s">
        <v>869</v>
      </c>
      <c r="C378" s="62">
        <v>2001</v>
      </c>
      <c r="D378" s="62" t="s">
        <v>1937</v>
      </c>
      <c r="E378" s="62" t="s">
        <v>1521</v>
      </c>
      <c r="F378" s="62" t="s">
        <v>1768</v>
      </c>
      <c r="I378" s="85"/>
    </row>
    <row r="379" spans="1:14">
      <c r="A379" t="s">
        <v>869</v>
      </c>
      <c r="C379">
        <v>2002</v>
      </c>
      <c r="D379" t="s">
        <v>1938</v>
      </c>
      <c r="E379" t="s">
        <v>1521</v>
      </c>
      <c r="G379" t="s">
        <v>1546</v>
      </c>
      <c r="H379" t="s">
        <v>1939</v>
      </c>
    </row>
    <row r="380" spans="1:14">
      <c r="A380" t="s">
        <v>869</v>
      </c>
      <c r="C380">
        <v>2022</v>
      </c>
      <c r="D380" t="s">
        <v>1940</v>
      </c>
      <c r="E380" t="s">
        <v>1521</v>
      </c>
      <c r="G380" t="s">
        <v>1581</v>
      </c>
      <c r="H380" t="s">
        <v>1941</v>
      </c>
    </row>
    <row r="381" s="48" customFormat="1" spans="1:14">
      <c r="A381" s="48" t="s">
        <v>869</v>
      </c>
      <c r="B381" s="48" t="s">
        <v>870</v>
      </c>
      <c r="C381" s="48">
        <v>2024</v>
      </c>
      <c r="D381" s="48" t="s">
        <v>1942</v>
      </c>
      <c r="E381" s="48" t="s">
        <v>1521</v>
      </c>
      <c r="G381" s="48" t="s">
        <v>1583</v>
      </c>
      <c r="H381" s="48" t="s">
        <v>1943</v>
      </c>
      <c r="I381" s="71" t="s">
        <v>1538</v>
      </c>
      <c r="J381" s="48" t="s">
        <v>1944</v>
      </c>
    </row>
    <row r="382" spans="1:14">
      <c r="A382" t="s">
        <v>869</v>
      </c>
      <c r="C382">
        <v>2019</v>
      </c>
      <c r="D382" t="s">
        <v>1945</v>
      </c>
      <c r="E382" t="s">
        <v>1521</v>
      </c>
      <c r="H382" t="s">
        <v>1946</v>
      </c>
    </row>
    <row r="383" spans="1:14">
      <c r="A383" t="s">
        <v>869</v>
      </c>
      <c r="C383">
        <v>2016</v>
      </c>
      <c r="D383" t="s">
        <v>1892</v>
      </c>
      <c r="E383" t="s">
        <v>1521</v>
      </c>
      <c r="H383" t="s">
        <v>1854</v>
      </c>
    </row>
    <row r="384" spans="1:14">
      <c r="A384" t="s">
        <v>869</v>
      </c>
      <c r="C384">
        <v>2016</v>
      </c>
      <c r="D384" t="s">
        <v>1895</v>
      </c>
      <c r="E384" t="s">
        <v>1521</v>
      </c>
      <c r="G384" t="s">
        <v>1585</v>
      </c>
      <c r="H384" t="s">
        <v>1947</v>
      </c>
    </row>
    <row r="385" ht="15" spans="1:14">
      <c r="A385" s="24" t="s">
        <v>1948</v>
      </c>
      <c r="B385" s="21"/>
      <c r="C385" s="22">
        <v>2018</v>
      </c>
      <c r="D385" s="21" t="s">
        <v>1949</v>
      </c>
      <c r="E385" s="21" t="s">
        <v>1521</v>
      </c>
      <c r="F385" s="21"/>
      <c r="G385" s="21" t="s">
        <v>1734</v>
      </c>
      <c r="H385" s="21" t="s">
        <v>1784</v>
      </c>
      <c r="I385" s="23"/>
      <c r="J385" s="21"/>
      <c r="K385" s="21"/>
      <c r="L385" s="21"/>
      <c r="M385" s="21"/>
      <c r="N385" s="21"/>
    </row>
    <row r="386" ht="15" spans="1:14">
      <c r="A386" s="66"/>
      <c r="C386" s="66"/>
    </row>
    <row r="387" ht="15" spans="1:14">
      <c r="A387" s="66"/>
      <c r="C387" s="66"/>
    </row>
    <row r="388" spans="1:14">
      <c r="A388" s="48" t="s">
        <v>1950</v>
      </c>
      <c r="B388" s="48" t="s">
        <v>884</v>
      </c>
      <c r="C388" s="48">
        <v>2024</v>
      </c>
      <c r="D388" s="48" t="s">
        <v>1951</v>
      </c>
      <c r="E388" s="48" t="s">
        <v>1521</v>
      </c>
      <c r="F388" s="48"/>
      <c r="G388" s="48" t="s">
        <v>1530</v>
      </c>
      <c r="H388" s="48" t="s">
        <v>1890</v>
      </c>
      <c r="I388" s="71"/>
      <c r="J388" s="48"/>
      <c r="K388" s="48"/>
      <c r="L388" s="48"/>
    </row>
    <row r="389" spans="1:14">
      <c r="A389" t="s">
        <v>1950</v>
      </c>
      <c r="C389">
        <v>2012</v>
      </c>
      <c r="D389" t="s">
        <v>1952</v>
      </c>
      <c r="E389" t="s">
        <v>1521</v>
      </c>
      <c r="G389" t="s">
        <v>1533</v>
      </c>
      <c r="H389" t="s">
        <v>1729</v>
      </c>
    </row>
    <row r="390" spans="1:14">
      <c r="A390" t="s">
        <v>1950</v>
      </c>
      <c r="C390">
        <v>2016</v>
      </c>
      <c r="D390" t="s">
        <v>1892</v>
      </c>
      <c r="E390" t="s">
        <v>1521</v>
      </c>
      <c r="G390" t="s">
        <v>1538</v>
      </c>
      <c r="H390" t="s">
        <v>1879</v>
      </c>
    </row>
    <row r="391" spans="1:14">
      <c r="A391" s="72"/>
    </row>
    <row r="392" spans="1:14">
      <c r="A392" s="48" t="s">
        <v>889</v>
      </c>
      <c r="B392" s="48" t="s">
        <v>890</v>
      </c>
      <c r="C392" s="48">
        <v>2016</v>
      </c>
      <c r="D392" s="48" t="s">
        <v>1953</v>
      </c>
      <c r="E392" s="48" t="s">
        <v>1521</v>
      </c>
      <c r="F392" s="48"/>
      <c r="G392" s="48" t="s">
        <v>1530</v>
      </c>
      <c r="H392" s="48" t="s">
        <v>1822</v>
      </c>
      <c r="I392" s="71"/>
      <c r="J392" s="48"/>
      <c r="K392" s="48"/>
      <c r="L392" s="48"/>
    </row>
    <row r="393" spans="1:14">
      <c r="A393" t="s">
        <v>889</v>
      </c>
      <c r="C393">
        <v>2016</v>
      </c>
      <c r="D393" t="s">
        <v>1892</v>
      </c>
      <c r="E393" t="s">
        <v>1521</v>
      </c>
      <c r="G393" t="s">
        <v>1533</v>
      </c>
      <c r="H393" t="s">
        <v>1879</v>
      </c>
    </row>
    <row r="396" spans="1:14">
      <c r="A396" s="48" t="s">
        <v>895</v>
      </c>
      <c r="B396" s="48" t="s">
        <v>791</v>
      </c>
      <c r="C396" s="48">
        <v>2016</v>
      </c>
      <c r="D396" s="48" t="s">
        <v>1892</v>
      </c>
      <c r="E396" s="48" t="s">
        <v>1521</v>
      </c>
      <c r="F396" s="48"/>
      <c r="G396" s="48"/>
      <c r="H396" s="48" t="s">
        <v>1954</v>
      </c>
      <c r="I396" s="71"/>
      <c r="J396" s="48"/>
      <c r="K396" s="48"/>
      <c r="L396" s="48"/>
    </row>
    <row r="399" spans="1:14">
      <c r="A399" t="s">
        <v>1955</v>
      </c>
      <c r="C399">
        <v>2022</v>
      </c>
      <c r="D399" t="s">
        <v>1956</v>
      </c>
      <c r="E399" t="s">
        <v>1521</v>
      </c>
      <c r="G399" t="s">
        <v>1530</v>
      </c>
      <c r="H399" t="s">
        <v>1719</v>
      </c>
    </row>
    <row r="400" spans="1:14">
      <c r="A400" t="s">
        <v>1955</v>
      </c>
      <c r="C400">
        <v>2023</v>
      </c>
      <c r="D400" t="s">
        <v>1718</v>
      </c>
      <c r="E400" t="s">
        <v>1521</v>
      </c>
      <c r="G400" t="s">
        <v>1533</v>
      </c>
      <c r="H400" t="s">
        <v>1719</v>
      </c>
    </row>
    <row r="401" spans="1:14">
      <c r="A401" s="48" t="s">
        <v>1955</v>
      </c>
      <c r="B401" s="48" t="s">
        <v>791</v>
      </c>
      <c r="C401" s="48">
        <v>2016</v>
      </c>
      <c r="D401" s="48" t="s">
        <v>1892</v>
      </c>
      <c r="E401" s="48" t="s">
        <v>1521</v>
      </c>
      <c r="F401" s="48"/>
      <c r="G401" s="48" t="s">
        <v>1538</v>
      </c>
      <c r="H401" s="48" t="s">
        <v>1818</v>
      </c>
      <c r="I401" s="71"/>
      <c r="J401" s="48"/>
      <c r="K401" s="48"/>
      <c r="L401" s="48"/>
    </row>
    <row r="402" spans="1:14">
      <c r="A402" t="s">
        <v>1955</v>
      </c>
      <c r="C402">
        <v>2016</v>
      </c>
      <c r="D402" t="s">
        <v>1895</v>
      </c>
      <c r="E402" t="s">
        <v>1521</v>
      </c>
      <c r="H402" t="s">
        <v>1957</v>
      </c>
    </row>
    <row r="403" spans="1:14">
      <c r="A403" s="72"/>
    </row>
    <row r="404" spans="1:14">
      <c r="A404" s="72"/>
    </row>
    <row r="405" spans="1:14">
      <c r="A405" s="48" t="s">
        <v>1958</v>
      </c>
      <c r="B405" s="48" t="s">
        <v>796</v>
      </c>
      <c r="C405" s="48">
        <v>2016</v>
      </c>
      <c r="D405" s="48" t="s">
        <v>1895</v>
      </c>
      <c r="E405" s="48" t="s">
        <v>1521</v>
      </c>
      <c r="F405" s="48"/>
      <c r="G405" s="48"/>
      <c r="H405" s="48"/>
      <c r="I405" s="71"/>
      <c r="J405" s="48"/>
      <c r="K405" s="48"/>
      <c r="L405" s="48"/>
    </row>
    <row r="406" ht="15" spans="1:14">
      <c r="A406" s="66"/>
      <c r="C406" s="66"/>
    </row>
    <row r="407" spans="1:14">
      <c r="A407" s="48" t="s">
        <v>1959</v>
      </c>
      <c r="B407" s="48" t="s">
        <v>796</v>
      </c>
      <c r="C407" s="48">
        <v>2016</v>
      </c>
      <c r="D407" s="48" t="s">
        <v>1895</v>
      </c>
      <c r="E407" s="48" t="s">
        <v>1521</v>
      </c>
      <c r="F407" s="48"/>
      <c r="G407" s="48"/>
      <c r="H407" s="48"/>
      <c r="I407" s="71"/>
      <c r="J407" s="48"/>
      <c r="K407" s="48"/>
      <c r="L407" s="48"/>
    </row>
    <row r="408" ht="15" spans="1:14">
      <c r="A408" s="66"/>
      <c r="C408" s="66"/>
    </row>
    <row r="409" ht="15" spans="1:14">
      <c r="A409" s="66"/>
      <c r="C409" s="66"/>
    </row>
    <row r="410" ht="15" spans="1:14">
      <c r="A410" s="66" t="s">
        <v>914</v>
      </c>
      <c r="C410" s="66"/>
    </row>
    <row r="411" spans="1:14">
      <c r="A411" s="48" t="s">
        <v>916</v>
      </c>
      <c r="B411" s="48" t="s">
        <v>917</v>
      </c>
      <c r="C411" s="48">
        <v>2024</v>
      </c>
      <c r="D411" s="48" t="s">
        <v>1960</v>
      </c>
      <c r="E411" s="48" t="s">
        <v>1521</v>
      </c>
      <c r="F411" s="48"/>
      <c r="G411" s="48" t="s">
        <v>1530</v>
      </c>
      <c r="H411" s="48" t="s">
        <v>1961</v>
      </c>
      <c r="I411" s="71" t="s">
        <v>1530</v>
      </c>
      <c r="J411" s="48" t="s">
        <v>1857</v>
      </c>
      <c r="K411" s="48"/>
      <c r="L411" s="48"/>
    </row>
    <row r="412" spans="1:14">
      <c r="A412" t="s">
        <v>916</v>
      </c>
      <c r="C412">
        <v>2021</v>
      </c>
      <c r="D412" t="s">
        <v>1962</v>
      </c>
      <c r="E412" t="s">
        <v>1521</v>
      </c>
      <c r="H412" t="s">
        <v>1758</v>
      </c>
    </row>
    <row r="413" spans="1:14">
      <c r="A413" t="s">
        <v>916</v>
      </c>
      <c r="B413" s="43"/>
      <c r="C413">
        <v>2020</v>
      </c>
      <c r="D413" t="s">
        <v>1963</v>
      </c>
      <c r="E413" t="s">
        <v>1521</v>
      </c>
      <c r="F413" s="43"/>
      <c r="G413" s="43"/>
      <c r="H413" t="s">
        <v>1758</v>
      </c>
      <c r="I413" s="90"/>
      <c r="J413" s="43"/>
    </row>
    <row r="414" spans="1:14">
      <c r="A414" s="21" t="s">
        <v>1964</v>
      </c>
      <c r="B414" s="21"/>
      <c r="C414" s="21">
        <v>2023</v>
      </c>
      <c r="D414" s="21" t="s">
        <v>1965</v>
      </c>
      <c r="E414" s="21" t="s">
        <v>1521</v>
      </c>
      <c r="F414" s="21"/>
      <c r="G414" s="21" t="s">
        <v>1533</v>
      </c>
      <c r="H414" s="21" t="s">
        <v>1966</v>
      </c>
      <c r="I414" s="23"/>
      <c r="J414" s="21"/>
      <c r="K414" s="21"/>
      <c r="L414" s="21"/>
      <c r="M414" s="21"/>
      <c r="N414" s="21"/>
    </row>
    <row r="417" spans="1:14">
      <c r="A417" t="s">
        <v>936</v>
      </c>
      <c r="C417">
        <v>2018</v>
      </c>
      <c r="D417" t="s">
        <v>1967</v>
      </c>
      <c r="E417" t="s">
        <v>1521</v>
      </c>
      <c r="G417" t="s">
        <v>1530</v>
      </c>
      <c r="H417" t="s">
        <v>1968</v>
      </c>
    </row>
    <row r="418" spans="1:14">
      <c r="A418" t="s">
        <v>936</v>
      </c>
      <c r="C418">
        <v>2021</v>
      </c>
      <c r="D418" t="s">
        <v>1969</v>
      </c>
      <c r="E418" t="s">
        <v>1521</v>
      </c>
      <c r="I418" s="63" t="s">
        <v>1530</v>
      </c>
      <c r="J418" t="s">
        <v>1970</v>
      </c>
    </row>
    <row r="419" spans="1:14">
      <c r="A419" t="s">
        <v>936</v>
      </c>
      <c r="C419">
        <v>2024</v>
      </c>
      <c r="D419" t="s">
        <v>1971</v>
      </c>
      <c r="E419" t="s">
        <v>1521</v>
      </c>
      <c r="G419" t="s">
        <v>1533</v>
      </c>
      <c r="H419" t="s">
        <v>1972</v>
      </c>
    </row>
    <row r="420" spans="1:14">
      <c r="A420" t="s">
        <v>936</v>
      </c>
      <c r="C420">
        <v>2022</v>
      </c>
      <c r="D420" t="s">
        <v>1973</v>
      </c>
      <c r="E420" t="s">
        <v>1521</v>
      </c>
      <c r="G420" t="s">
        <v>1538</v>
      </c>
      <c r="H420" t="s">
        <v>1974</v>
      </c>
      <c r="I420" s="63" t="s">
        <v>1533</v>
      </c>
      <c r="J420" t="s">
        <v>1975</v>
      </c>
    </row>
    <row r="421" spans="1:14">
      <c r="A421" t="s">
        <v>936</v>
      </c>
      <c r="C421">
        <v>2020</v>
      </c>
      <c r="D421" t="s">
        <v>1976</v>
      </c>
      <c r="E421" t="s">
        <v>1521</v>
      </c>
      <c r="G421" t="s">
        <v>1546</v>
      </c>
      <c r="H421" t="s">
        <v>1977</v>
      </c>
    </row>
    <row r="422" spans="1:14">
      <c r="A422" s="48" t="s">
        <v>936</v>
      </c>
      <c r="B422" s="48" t="s">
        <v>961</v>
      </c>
      <c r="C422" s="48">
        <v>2021</v>
      </c>
      <c r="D422" s="48" t="s">
        <v>1978</v>
      </c>
      <c r="E422" s="48" t="s">
        <v>1521</v>
      </c>
      <c r="F422" s="48"/>
      <c r="G422" s="48"/>
      <c r="H422" s="48"/>
      <c r="I422" s="71"/>
      <c r="J422" s="48"/>
      <c r="K422" s="48" t="s">
        <v>1530</v>
      </c>
      <c r="L422" s="48" t="s">
        <v>1979</v>
      </c>
    </row>
    <row r="423" spans="1:14">
      <c r="A423" s="48" t="s">
        <v>936</v>
      </c>
      <c r="B423" s="48" t="s">
        <v>943</v>
      </c>
      <c r="C423" s="48">
        <v>2018</v>
      </c>
      <c r="D423" s="48" t="s">
        <v>1980</v>
      </c>
      <c r="E423" s="48" t="s">
        <v>1521</v>
      </c>
      <c r="F423" s="48"/>
      <c r="G423" s="48" t="s">
        <v>1581</v>
      </c>
      <c r="H423" s="48" t="s">
        <v>1621</v>
      </c>
      <c r="I423" s="71" t="s">
        <v>1538</v>
      </c>
      <c r="J423" s="48" t="s">
        <v>1981</v>
      </c>
      <c r="K423" s="48"/>
      <c r="L423" s="48"/>
    </row>
    <row r="424" spans="1:14">
      <c r="A424" t="s">
        <v>936</v>
      </c>
      <c r="C424">
        <v>2024</v>
      </c>
      <c r="D424" t="s">
        <v>1982</v>
      </c>
      <c r="E424" t="s">
        <v>1521</v>
      </c>
      <c r="G424" t="s">
        <v>1583</v>
      </c>
      <c r="H424" t="s">
        <v>1972</v>
      </c>
      <c r="K424" t="s">
        <v>1533</v>
      </c>
      <c r="L424" t="s">
        <v>1979</v>
      </c>
    </row>
    <row r="425" spans="1:14">
      <c r="A425" s="48" t="s">
        <v>936</v>
      </c>
      <c r="B425" s="48" t="s">
        <v>917</v>
      </c>
      <c r="C425" s="48">
        <v>2024</v>
      </c>
      <c r="D425" s="48" t="s">
        <v>1960</v>
      </c>
      <c r="E425" s="48" t="s">
        <v>1521</v>
      </c>
      <c r="F425" s="48"/>
      <c r="G425" s="48" t="s">
        <v>1585</v>
      </c>
      <c r="H425" s="48" t="s">
        <v>1977</v>
      </c>
      <c r="I425" s="71"/>
      <c r="J425" s="48"/>
      <c r="K425" s="48" t="s">
        <v>1538</v>
      </c>
      <c r="L425" s="48" t="s">
        <v>1983</v>
      </c>
    </row>
    <row r="426" spans="1:14">
      <c r="A426" s="21" t="s">
        <v>1984</v>
      </c>
      <c r="B426" s="21" t="s">
        <v>937</v>
      </c>
      <c r="C426" s="21">
        <v>2025</v>
      </c>
      <c r="D426" s="21" t="s">
        <v>1985</v>
      </c>
      <c r="E426" s="21" t="s">
        <v>1521</v>
      </c>
      <c r="F426" s="21"/>
      <c r="G426" s="21" t="s">
        <v>1734</v>
      </c>
      <c r="H426" s="21" t="s">
        <v>1986</v>
      </c>
      <c r="I426" s="23"/>
      <c r="J426" s="21"/>
      <c r="K426" s="21"/>
      <c r="L426" s="21"/>
      <c r="M426" s="21"/>
      <c r="N426" s="21"/>
    </row>
    <row r="428" spans="1:14">
      <c r="A428" s="48" t="s">
        <v>1449</v>
      </c>
      <c r="B428" s="48" t="s">
        <v>978</v>
      </c>
      <c r="C428" s="48">
        <v>2019</v>
      </c>
      <c r="D428" s="48" t="s">
        <v>1987</v>
      </c>
      <c r="E428" s="48" t="s">
        <v>1521</v>
      </c>
      <c r="F428" s="48"/>
      <c r="G428" s="48" t="s">
        <v>1530</v>
      </c>
      <c r="H428" s="48" t="s">
        <v>1988</v>
      </c>
      <c r="I428" s="71"/>
      <c r="J428" s="48"/>
      <c r="K428" s="48"/>
      <c r="L428" s="48"/>
    </row>
    <row r="429" s="62" customFormat="1" spans="1:14">
      <c r="A429" s="62" t="s">
        <v>1449</v>
      </c>
      <c r="C429" s="62">
        <v>2018</v>
      </c>
      <c r="D429" s="62" t="s">
        <v>1989</v>
      </c>
      <c r="E429" s="62" t="s">
        <v>1521</v>
      </c>
      <c r="F429" s="62" t="s">
        <v>1768</v>
      </c>
      <c r="I429" s="85"/>
    </row>
    <row r="430" spans="1:14">
      <c r="A430" t="s">
        <v>1449</v>
      </c>
      <c r="B430" s="43"/>
      <c r="C430">
        <v>2019</v>
      </c>
      <c r="D430" t="s">
        <v>1990</v>
      </c>
      <c r="E430" t="s">
        <v>1521</v>
      </c>
      <c r="F430" s="43"/>
      <c r="G430" s="43" t="s">
        <v>1533</v>
      </c>
      <c r="H430" s="43" t="s">
        <v>1834</v>
      </c>
      <c r="I430" s="90"/>
      <c r="J430" s="43"/>
    </row>
    <row r="431" spans="1:14">
      <c r="A431" t="s">
        <v>1449</v>
      </c>
      <c r="C431">
        <v>2017</v>
      </c>
      <c r="D431" t="s">
        <v>1991</v>
      </c>
      <c r="E431" t="s">
        <v>1521</v>
      </c>
      <c r="J431" t="s">
        <v>1992</v>
      </c>
    </row>
    <row r="432" spans="1:14">
      <c r="A432" t="s">
        <v>1449</v>
      </c>
      <c r="C432">
        <v>2016</v>
      </c>
      <c r="D432" t="s">
        <v>1993</v>
      </c>
      <c r="E432" t="s">
        <v>1521</v>
      </c>
      <c r="G432" t="s">
        <v>1538</v>
      </c>
      <c r="H432" t="s">
        <v>1834</v>
      </c>
    </row>
    <row r="433" spans="1:14">
      <c r="A433" t="s">
        <v>1449</v>
      </c>
      <c r="C433">
        <v>2024</v>
      </c>
      <c r="D433" t="s">
        <v>1994</v>
      </c>
      <c r="E433" t="s">
        <v>1521</v>
      </c>
      <c r="G433" t="s">
        <v>1546</v>
      </c>
      <c r="H433" t="s">
        <v>1723</v>
      </c>
    </row>
    <row r="434" spans="1:14">
      <c r="A434" t="s">
        <v>1449</v>
      </c>
      <c r="C434">
        <v>2024</v>
      </c>
      <c r="D434" t="s">
        <v>1995</v>
      </c>
      <c r="E434" s="72" t="s">
        <v>1521</v>
      </c>
      <c r="G434" t="s">
        <v>1581</v>
      </c>
      <c r="H434" t="s">
        <v>1996</v>
      </c>
    </row>
    <row r="436" spans="1:14">
      <c r="A436" t="s">
        <v>1453</v>
      </c>
      <c r="C436">
        <v>2020</v>
      </c>
      <c r="D436" t="s">
        <v>1997</v>
      </c>
      <c r="E436" t="s">
        <v>1521</v>
      </c>
      <c r="I436" s="63" t="s">
        <v>1530</v>
      </c>
      <c r="J436" t="s">
        <v>1998</v>
      </c>
    </row>
    <row r="437" spans="1:14">
      <c r="A437" s="48" t="s">
        <v>1453</v>
      </c>
      <c r="B437" s="48" t="s">
        <v>1022</v>
      </c>
      <c r="C437" s="48">
        <v>2017</v>
      </c>
      <c r="D437" s="48" t="s">
        <v>1999</v>
      </c>
      <c r="E437" s="48" t="s">
        <v>1521</v>
      </c>
      <c r="F437" s="48"/>
      <c r="G437" s="48"/>
      <c r="H437" s="48"/>
      <c r="I437" s="71"/>
      <c r="J437" s="48"/>
      <c r="K437" s="48"/>
      <c r="L437" s="48" t="s">
        <v>2000</v>
      </c>
    </row>
    <row r="438" spans="1:14">
      <c r="A438" t="s">
        <v>1453</v>
      </c>
      <c r="C438">
        <v>2015</v>
      </c>
      <c r="D438" t="s">
        <v>2001</v>
      </c>
      <c r="E438" t="s">
        <v>1521</v>
      </c>
      <c r="G438" t="s">
        <v>1530</v>
      </c>
      <c r="H438" t="s">
        <v>2002</v>
      </c>
    </row>
    <row r="439" s="48" customFormat="1" spans="1:14">
      <c r="A439" s="48" t="s">
        <v>1453</v>
      </c>
      <c r="B439" s="48" t="s">
        <v>1016</v>
      </c>
      <c r="C439" s="48">
        <v>2015</v>
      </c>
      <c r="D439" s="48" t="s">
        <v>2003</v>
      </c>
      <c r="E439" s="48" t="s">
        <v>1521</v>
      </c>
      <c r="G439" s="48" t="s">
        <v>1533</v>
      </c>
      <c r="H439" s="48" t="s">
        <v>2004</v>
      </c>
      <c r="I439" s="71"/>
    </row>
    <row r="440" spans="1:14">
      <c r="A440" t="s">
        <v>1453</v>
      </c>
      <c r="C440">
        <v>2020</v>
      </c>
      <c r="D440" t="s">
        <v>2005</v>
      </c>
      <c r="E440" t="s">
        <v>1521</v>
      </c>
      <c r="G440" t="s">
        <v>1538</v>
      </c>
      <c r="H440" t="s">
        <v>1972</v>
      </c>
    </row>
    <row r="441" spans="1:14">
      <c r="A441" s="48" t="s">
        <v>1453</v>
      </c>
      <c r="B441" s="48" t="s">
        <v>917</v>
      </c>
      <c r="C441" s="48">
        <v>2024</v>
      </c>
      <c r="D441" s="48" t="s">
        <v>1960</v>
      </c>
      <c r="E441" s="48" t="s">
        <v>1521</v>
      </c>
      <c r="F441" s="48"/>
      <c r="G441" s="48" t="s">
        <v>1546</v>
      </c>
      <c r="H441" s="48" t="s">
        <v>1966</v>
      </c>
      <c r="I441" s="71" t="s">
        <v>1533</v>
      </c>
      <c r="J441" s="48" t="s">
        <v>1998</v>
      </c>
      <c r="K441" s="48"/>
      <c r="L441" s="48"/>
    </row>
    <row r="442" spans="1:14">
      <c r="A442" s="21" t="s">
        <v>2006</v>
      </c>
      <c r="B442" s="21"/>
      <c r="C442" s="21">
        <v>2025</v>
      </c>
      <c r="D442" s="21" t="s">
        <v>2007</v>
      </c>
      <c r="E442" s="21" t="s">
        <v>1521</v>
      </c>
      <c r="F442" s="21"/>
      <c r="G442" s="21" t="s">
        <v>1581</v>
      </c>
      <c r="H442" s="21" t="s">
        <v>2008</v>
      </c>
      <c r="I442" s="23"/>
      <c r="J442" s="21"/>
      <c r="K442" s="21"/>
      <c r="L442" s="21"/>
      <c r="M442" s="21"/>
      <c r="N442" s="21"/>
    </row>
    <row r="444" spans="1:14">
      <c r="A444" s="72"/>
    </row>
    <row r="445" spans="1:14">
      <c r="A445" s="48" t="s">
        <v>2009</v>
      </c>
      <c r="B445" s="48" t="s">
        <v>1039</v>
      </c>
      <c r="C445" s="48">
        <v>2021</v>
      </c>
      <c r="D445" s="48" t="s">
        <v>1962</v>
      </c>
      <c r="E445" s="48" t="s">
        <v>1521</v>
      </c>
      <c r="F445" s="48"/>
      <c r="G445" s="48"/>
      <c r="H445" s="48"/>
      <c r="I445" s="71"/>
      <c r="J445" s="48"/>
      <c r="K445" s="48"/>
      <c r="L445" s="48"/>
    </row>
    <row r="447" spans="1:14">
      <c r="A447" s="48" t="s">
        <v>1456</v>
      </c>
      <c r="B447" s="48" t="s">
        <v>1045</v>
      </c>
      <c r="C447" s="48">
        <v>2020</v>
      </c>
      <c r="D447" s="48" t="s">
        <v>2010</v>
      </c>
      <c r="E447" s="48" t="s">
        <v>1521</v>
      </c>
      <c r="F447" s="48"/>
      <c r="G447" s="48" t="s">
        <v>1530</v>
      </c>
      <c r="H447" s="48" t="s">
        <v>1723</v>
      </c>
      <c r="I447" s="71"/>
      <c r="J447" s="48"/>
      <c r="K447" s="48"/>
      <c r="L447" s="48"/>
    </row>
    <row r="448" spans="1:14">
      <c r="A448" t="s">
        <v>1456</v>
      </c>
      <c r="C448">
        <v>2021</v>
      </c>
      <c r="D448" t="s">
        <v>1728</v>
      </c>
      <c r="E448" t="s">
        <v>1521</v>
      </c>
      <c r="G448" t="s">
        <v>1533</v>
      </c>
      <c r="H448" t="s">
        <v>1719</v>
      </c>
    </row>
    <row r="450" spans="1:14">
      <c r="A450" s="48" t="s">
        <v>1050</v>
      </c>
      <c r="B450" s="48" t="s">
        <v>1051</v>
      </c>
      <c r="C450" s="48">
        <v>2020</v>
      </c>
      <c r="D450" s="48" t="s">
        <v>2011</v>
      </c>
      <c r="E450" s="48" t="s">
        <v>1521</v>
      </c>
      <c r="F450" s="48"/>
      <c r="G450" s="48" t="s">
        <v>1530</v>
      </c>
      <c r="H450" s="48" t="s">
        <v>1802</v>
      </c>
      <c r="I450" s="71"/>
      <c r="J450" s="48"/>
      <c r="K450" s="48"/>
      <c r="L450" s="48"/>
    </row>
    <row r="451" spans="1:14">
      <c r="A451" s="21" t="s">
        <v>2012</v>
      </c>
      <c r="B451" s="21"/>
      <c r="C451" s="21">
        <v>2020</v>
      </c>
      <c r="D451" s="21" t="s">
        <v>2013</v>
      </c>
      <c r="E451" s="21" t="s">
        <v>1521</v>
      </c>
      <c r="F451" s="21"/>
      <c r="G451" s="21" t="s">
        <v>1533</v>
      </c>
      <c r="H451" s="21" t="s">
        <v>2014</v>
      </c>
      <c r="I451" s="23"/>
      <c r="J451" s="21"/>
      <c r="K451" s="21"/>
      <c r="L451" s="21"/>
      <c r="M451" s="21"/>
      <c r="N451" s="21"/>
    </row>
    <row r="453" spans="1:14">
      <c r="A453" s="48" t="s">
        <v>1457</v>
      </c>
      <c r="B453" s="48" t="s">
        <v>1057</v>
      </c>
      <c r="C453" s="48">
        <v>2016</v>
      </c>
      <c r="D453" s="48" t="s">
        <v>1993</v>
      </c>
      <c r="E453" s="48" t="s">
        <v>1521</v>
      </c>
      <c r="F453" s="48"/>
      <c r="G453" s="48"/>
      <c r="H453" s="48"/>
      <c r="I453" s="71"/>
      <c r="J453" s="48"/>
      <c r="K453" s="48"/>
      <c r="L453" s="48"/>
    </row>
    <row r="455" spans="1:14">
      <c r="A455" s="48" t="s">
        <v>1062</v>
      </c>
      <c r="B455" s="48" t="s">
        <v>1063</v>
      </c>
      <c r="C455" s="48">
        <v>2024</v>
      </c>
      <c r="D455" s="48" t="s">
        <v>2015</v>
      </c>
      <c r="E455" s="48" t="s">
        <v>1521</v>
      </c>
      <c r="F455" s="48"/>
      <c r="G455" s="48"/>
      <c r="H455" s="48"/>
      <c r="I455" s="71"/>
      <c r="J455" s="48"/>
      <c r="K455" s="48"/>
      <c r="L455" s="48"/>
    </row>
    <row r="456" ht="15" spans="1:14">
      <c r="A456" s="66"/>
      <c r="C456" s="66"/>
    </row>
    <row r="457" ht="17.5" spans="1:14">
      <c r="C457" s="86"/>
    </row>
    <row r="458" spans="1:14">
      <c r="A458" s="20" t="s">
        <v>1068</v>
      </c>
      <c r="G458" s="43"/>
    </row>
    <row r="459" spans="1:14">
      <c r="A459" s="48" t="s">
        <v>1460</v>
      </c>
      <c r="B459" s="69" t="s">
        <v>1071</v>
      </c>
      <c r="C459" s="48">
        <v>2014</v>
      </c>
      <c r="D459" s="48" t="s">
        <v>2016</v>
      </c>
      <c r="E459" s="48" t="s">
        <v>1521</v>
      </c>
      <c r="F459" s="69"/>
      <c r="G459" s="69"/>
      <c r="H459" s="69"/>
      <c r="I459" s="70"/>
      <c r="J459" s="69"/>
      <c r="K459" s="69"/>
      <c r="L459" s="69"/>
    </row>
    <row r="461" spans="1:14">
      <c r="A461" s="48" t="s">
        <v>1463</v>
      </c>
      <c r="B461" s="69" t="s">
        <v>1076</v>
      </c>
      <c r="C461" s="48">
        <v>2022</v>
      </c>
      <c r="D461" s="48" t="s">
        <v>2017</v>
      </c>
      <c r="E461" s="48" t="s">
        <v>1521</v>
      </c>
      <c r="F461" s="69"/>
      <c r="G461" s="69" t="s">
        <v>1530</v>
      </c>
      <c r="H461" s="48" t="s">
        <v>2018</v>
      </c>
      <c r="I461" s="70"/>
      <c r="J461" s="69"/>
      <c r="K461" s="69"/>
      <c r="L461" s="69"/>
    </row>
    <row r="462" spans="1:14">
      <c r="A462" t="s">
        <v>1463</v>
      </c>
      <c r="C462">
        <v>2019</v>
      </c>
      <c r="D462" t="s">
        <v>2019</v>
      </c>
      <c r="E462" t="s">
        <v>1521</v>
      </c>
      <c r="G462" t="s">
        <v>1533</v>
      </c>
      <c r="H462" s="89" t="s">
        <v>2020</v>
      </c>
    </row>
    <row r="464" spans="1:14">
      <c r="A464" t="s">
        <v>1464</v>
      </c>
      <c r="C464">
        <v>2015</v>
      </c>
      <c r="D464" t="s">
        <v>2021</v>
      </c>
      <c r="E464" t="s">
        <v>1521</v>
      </c>
      <c r="G464" s="63" t="s">
        <v>1530</v>
      </c>
      <c r="H464" s="91" t="s">
        <v>1723</v>
      </c>
      <c r="J464" s="91"/>
    </row>
    <row r="465" spans="1:12">
      <c r="A465" s="48" t="s">
        <v>1464</v>
      </c>
      <c r="B465" s="69" t="s">
        <v>1088</v>
      </c>
      <c r="C465" s="48">
        <v>2023</v>
      </c>
      <c r="D465" s="48" t="s">
        <v>2022</v>
      </c>
      <c r="E465" s="48" t="s">
        <v>1521</v>
      </c>
      <c r="F465" s="69"/>
      <c r="G465" s="70" t="s">
        <v>1533</v>
      </c>
      <c r="H465" s="34" t="s">
        <v>2023</v>
      </c>
      <c r="I465" s="70"/>
      <c r="J465" s="34"/>
      <c r="K465" s="69"/>
      <c r="L465" s="69"/>
    </row>
    <row r="466" spans="1:12">
      <c r="A466" t="s">
        <v>1464</v>
      </c>
      <c r="C466">
        <v>2013</v>
      </c>
      <c r="D466" t="s">
        <v>2024</v>
      </c>
      <c r="E466" t="s">
        <v>1521</v>
      </c>
      <c r="G466" s="63" t="s">
        <v>1538</v>
      </c>
      <c r="H466" s="91" t="s">
        <v>1922</v>
      </c>
      <c r="J466" s="91"/>
    </row>
    <row r="467" spans="1:12">
      <c r="A467" t="s">
        <v>1464</v>
      </c>
      <c r="C467">
        <v>2015</v>
      </c>
      <c r="D467" t="s">
        <v>2025</v>
      </c>
      <c r="E467" t="s">
        <v>1521</v>
      </c>
      <c r="G467" s="63" t="s">
        <v>1546</v>
      </c>
      <c r="H467" s="91" t="s">
        <v>1723</v>
      </c>
      <c r="J467" s="91"/>
    </row>
    <row r="468" spans="1:12">
      <c r="A468" t="s">
        <v>1464</v>
      </c>
      <c r="C468">
        <v>2014</v>
      </c>
      <c r="D468" t="s">
        <v>2026</v>
      </c>
      <c r="E468" t="s">
        <v>1521</v>
      </c>
      <c r="G468" s="63" t="s">
        <v>1581</v>
      </c>
      <c r="H468" s="91" t="s">
        <v>1890</v>
      </c>
      <c r="J468" s="91"/>
    </row>
    <row r="469" spans="1:12">
      <c r="A469" t="s">
        <v>1464</v>
      </c>
      <c r="B469" s="72"/>
      <c r="C469">
        <v>2018</v>
      </c>
      <c r="D469" t="s">
        <v>1740</v>
      </c>
      <c r="E469" t="s">
        <v>1521</v>
      </c>
      <c r="F469" s="72"/>
      <c r="G469" s="72"/>
      <c r="H469" s="72" t="s">
        <v>1896</v>
      </c>
      <c r="I469" s="78"/>
      <c r="J469" s="72"/>
      <c r="K469" s="72"/>
      <c r="L469" s="72"/>
    </row>
    <row r="471" spans="1:12">
      <c r="A471" s="48" t="s">
        <v>2027</v>
      </c>
      <c r="B471" s="69" t="s">
        <v>1095</v>
      </c>
      <c r="C471" s="48">
        <v>2023</v>
      </c>
      <c r="D471" s="48" t="s">
        <v>2028</v>
      </c>
      <c r="E471" s="48" t="s">
        <v>1521</v>
      </c>
      <c r="F471" s="69"/>
      <c r="G471" s="69"/>
      <c r="H471" s="69"/>
      <c r="I471" s="70"/>
      <c r="J471" s="69" t="s">
        <v>1729</v>
      </c>
      <c r="K471" s="69"/>
      <c r="L471" s="69"/>
    </row>
    <row r="472" spans="1:12">
      <c r="A472" t="s">
        <v>2027</v>
      </c>
      <c r="C472">
        <v>2018</v>
      </c>
      <c r="D472" t="s">
        <v>1740</v>
      </c>
      <c r="E472" t="s">
        <v>1521</v>
      </c>
      <c r="H472" s="89" t="s">
        <v>1923</v>
      </c>
    </row>
    <row r="474" spans="1:12">
      <c r="A474" s="48" t="s">
        <v>2029</v>
      </c>
      <c r="B474" s="48" t="s">
        <v>1540</v>
      </c>
      <c r="C474" s="48">
        <v>2020</v>
      </c>
      <c r="D474" s="48" t="s">
        <v>1541</v>
      </c>
      <c r="E474" s="48" t="s">
        <v>1521</v>
      </c>
      <c r="F474" s="48"/>
      <c r="G474" s="48"/>
      <c r="H474" s="48" t="s">
        <v>2030</v>
      </c>
      <c r="I474" s="71"/>
      <c r="J474" s="48"/>
      <c r="K474" s="48"/>
      <c r="L474" s="48"/>
    </row>
    <row r="475" s="48" customFormat="1" spans="1:12">
      <c r="A475" s="48" t="s">
        <v>2029</v>
      </c>
      <c r="B475" s="48" t="s">
        <v>2031</v>
      </c>
      <c r="C475" s="48">
        <v>2018</v>
      </c>
      <c r="D475" s="48" t="s">
        <v>2032</v>
      </c>
      <c r="E475" s="48" t="s">
        <v>1521</v>
      </c>
      <c r="H475" s="48" t="s">
        <v>2033</v>
      </c>
      <c r="I475" s="71"/>
    </row>
    <row r="476" spans="1:12">
      <c r="A476" s="48" t="s">
        <v>2029</v>
      </c>
      <c r="B476" s="48" t="s">
        <v>1110</v>
      </c>
      <c r="C476" s="48">
        <v>2019</v>
      </c>
      <c r="D476" s="48" t="s">
        <v>2034</v>
      </c>
      <c r="E476" s="48" t="s">
        <v>1521</v>
      </c>
      <c r="F476" s="48"/>
      <c r="G476" s="48" t="s">
        <v>1530</v>
      </c>
      <c r="H476" s="48" t="s">
        <v>2035</v>
      </c>
      <c r="I476" s="71"/>
      <c r="J476" s="48"/>
      <c r="K476" s="48"/>
      <c r="L476" s="48"/>
    </row>
    <row r="477" spans="1:12">
      <c r="A477" t="s">
        <v>2029</v>
      </c>
      <c r="C477">
        <v>2010</v>
      </c>
      <c r="D477" t="s">
        <v>2036</v>
      </c>
      <c r="E477" t="s">
        <v>1521</v>
      </c>
      <c r="G477" t="s">
        <v>1533</v>
      </c>
      <c r="H477" t="s">
        <v>2037</v>
      </c>
    </row>
    <row r="478" spans="1:12">
      <c r="A478" t="s">
        <v>2029</v>
      </c>
      <c r="C478">
        <v>2008</v>
      </c>
      <c r="D478" t="s">
        <v>2038</v>
      </c>
      <c r="E478" t="s">
        <v>1521</v>
      </c>
      <c r="G478" t="s">
        <v>1538</v>
      </c>
      <c r="H478" t="s">
        <v>2004</v>
      </c>
    </row>
    <row r="479" spans="1:12">
      <c r="A479" t="s">
        <v>2029</v>
      </c>
      <c r="C479">
        <v>2017</v>
      </c>
      <c r="D479" t="s">
        <v>2039</v>
      </c>
      <c r="E479" t="s">
        <v>1521</v>
      </c>
      <c r="G479" t="s">
        <v>1546</v>
      </c>
      <c r="H479" t="s">
        <v>2040</v>
      </c>
    </row>
    <row r="480" spans="1:12">
      <c r="A480" t="s">
        <v>2029</v>
      </c>
      <c r="C480">
        <v>2014</v>
      </c>
      <c r="D480" t="s">
        <v>2041</v>
      </c>
      <c r="E480" t="s">
        <v>1521</v>
      </c>
      <c r="G480" t="s">
        <v>1581</v>
      </c>
      <c r="H480" t="s">
        <v>1745</v>
      </c>
    </row>
    <row r="481" spans="1:14">
      <c r="A481" t="s">
        <v>2029</v>
      </c>
      <c r="C481">
        <v>2012</v>
      </c>
      <c r="D481" t="s">
        <v>2042</v>
      </c>
      <c r="E481" t="s">
        <v>1521</v>
      </c>
      <c r="G481" t="s">
        <v>1583</v>
      </c>
      <c r="H481" t="s">
        <v>1974</v>
      </c>
    </row>
    <row r="482" spans="1:14">
      <c r="A482" t="s">
        <v>2029</v>
      </c>
      <c r="C482">
        <v>2019</v>
      </c>
      <c r="D482" t="s">
        <v>1740</v>
      </c>
      <c r="E482" t="s">
        <v>1521</v>
      </c>
      <c r="G482" t="s">
        <v>1585</v>
      </c>
      <c r="H482" t="s">
        <v>1974</v>
      </c>
    </row>
    <row r="483" spans="1:14">
      <c r="A483" s="72"/>
    </row>
    <row r="484" s="48" customFormat="1" spans="1:14">
      <c r="A484" s="48" t="s">
        <v>2043</v>
      </c>
      <c r="B484" s="48" t="s">
        <v>2044</v>
      </c>
      <c r="C484" s="48">
        <v>2018</v>
      </c>
      <c r="D484" s="48" t="s">
        <v>2045</v>
      </c>
      <c r="E484" s="48" t="s">
        <v>1521</v>
      </c>
      <c r="H484" s="48" t="s">
        <v>2046</v>
      </c>
      <c r="I484" s="71"/>
    </row>
    <row r="485" spans="1:14">
      <c r="A485" s="48" t="s">
        <v>2043</v>
      </c>
      <c r="B485" s="48" t="s">
        <v>1110</v>
      </c>
      <c r="C485" s="48">
        <v>2019</v>
      </c>
      <c r="D485" s="48" t="s">
        <v>2034</v>
      </c>
      <c r="E485" s="48" t="s">
        <v>1521</v>
      </c>
      <c r="F485" s="48"/>
      <c r="G485" s="48" t="s">
        <v>1530</v>
      </c>
      <c r="H485" s="48" t="s">
        <v>2047</v>
      </c>
      <c r="I485" s="71"/>
      <c r="J485" s="48"/>
      <c r="K485" s="69"/>
      <c r="L485" s="69"/>
    </row>
    <row r="486" spans="1:14">
      <c r="A486" t="s">
        <v>2043</v>
      </c>
      <c r="B486" s="72"/>
      <c r="C486">
        <v>2019</v>
      </c>
      <c r="D486" t="s">
        <v>2048</v>
      </c>
      <c r="E486" t="s">
        <v>1521</v>
      </c>
      <c r="F486" s="72"/>
      <c r="G486" s="72"/>
      <c r="H486" s="72"/>
      <c r="I486" s="78"/>
      <c r="J486" s="72"/>
      <c r="K486" s="72"/>
      <c r="L486" s="72"/>
    </row>
    <row r="487" spans="1:14">
      <c r="A487" t="s">
        <v>2043</v>
      </c>
      <c r="C487">
        <v>2018</v>
      </c>
      <c r="D487" t="s">
        <v>1740</v>
      </c>
      <c r="E487" t="s">
        <v>1521</v>
      </c>
      <c r="G487" t="s">
        <v>1533</v>
      </c>
      <c r="H487" t="s">
        <v>2008</v>
      </c>
    </row>
    <row r="488" spans="1:14">
      <c r="G488" s="43"/>
    </row>
    <row r="489" spans="1:14">
      <c r="G489" s="43"/>
    </row>
    <row r="490" spans="1:14">
      <c r="A490" s="20" t="s">
        <v>2049</v>
      </c>
    </row>
    <row r="491" ht="15" spans="1:14">
      <c r="A491" s="48" t="s">
        <v>1144</v>
      </c>
      <c r="B491" s="79" t="s">
        <v>1145</v>
      </c>
      <c r="C491" s="48">
        <v>2025</v>
      </c>
      <c r="D491" s="48" t="s">
        <v>2050</v>
      </c>
      <c r="E491" s="48" t="s">
        <v>1521</v>
      </c>
      <c r="F491" s="79"/>
      <c r="G491" s="79"/>
      <c r="H491" s="79"/>
      <c r="I491" s="92"/>
      <c r="J491" s="79"/>
      <c r="K491" s="79"/>
      <c r="L491" s="79"/>
    </row>
    <row r="493" s="48" customFormat="1" spans="1:14">
      <c r="A493" s="48" t="s">
        <v>1154</v>
      </c>
      <c r="B493" s="48" t="s">
        <v>2051</v>
      </c>
      <c r="C493" s="48">
        <v>2008</v>
      </c>
      <c r="D493" s="48" t="s">
        <v>2052</v>
      </c>
      <c r="E493" s="48" t="s">
        <v>1521</v>
      </c>
      <c r="H493" s="48" t="s">
        <v>1794</v>
      </c>
      <c r="I493" s="71"/>
      <c r="N493" s="48" t="s">
        <v>2053</v>
      </c>
    </row>
    <row r="494" spans="1:14">
      <c r="A494" s="48" t="s">
        <v>1154</v>
      </c>
      <c r="B494" s="48" t="s">
        <v>1150</v>
      </c>
      <c r="C494" s="48">
        <v>2024</v>
      </c>
      <c r="D494" s="48" t="s">
        <v>2054</v>
      </c>
      <c r="E494" s="48" t="s">
        <v>1521</v>
      </c>
      <c r="F494" s="48"/>
      <c r="G494" s="48"/>
      <c r="H494" s="48"/>
      <c r="I494" s="71"/>
      <c r="J494" s="48" t="s">
        <v>1719</v>
      </c>
      <c r="K494" s="48"/>
      <c r="L494" s="48" t="s">
        <v>2055</v>
      </c>
    </row>
    <row r="497" spans="1:14">
      <c r="A497" s="48" t="s">
        <v>2056</v>
      </c>
      <c r="B497" s="48" t="s">
        <v>1167</v>
      </c>
      <c r="C497" s="48">
        <v>2023</v>
      </c>
      <c r="D497" s="48" t="s">
        <v>2057</v>
      </c>
      <c r="E497" s="48" t="s">
        <v>1521</v>
      </c>
      <c r="F497" s="48"/>
      <c r="G497" s="48"/>
      <c r="H497" s="48"/>
      <c r="I497" s="71"/>
      <c r="J497" s="48"/>
      <c r="K497" s="48"/>
      <c r="L497" s="48"/>
    </row>
    <row r="498" spans="1:14">
      <c r="B498" s="72"/>
      <c r="F498" s="72"/>
      <c r="G498" s="72"/>
      <c r="H498" s="72"/>
      <c r="I498" s="78"/>
      <c r="J498" s="72"/>
      <c r="K498" s="72"/>
      <c r="L498" s="72"/>
    </row>
    <row r="499" spans="1:14">
      <c r="A499" s="48" t="s">
        <v>2058</v>
      </c>
      <c r="B499" s="48" t="s">
        <v>1173</v>
      </c>
      <c r="C499" s="48">
        <v>2021</v>
      </c>
      <c r="D499" s="48" t="s">
        <v>2059</v>
      </c>
      <c r="E499" s="48" t="s">
        <v>1521</v>
      </c>
      <c r="F499" s="48"/>
      <c r="G499" s="48"/>
      <c r="H499" s="48"/>
      <c r="I499" s="71"/>
      <c r="J499" s="48"/>
      <c r="K499" s="48"/>
      <c r="L499" s="48"/>
    </row>
    <row r="500" spans="1:14">
      <c r="B500" s="72"/>
      <c r="F500" s="72"/>
      <c r="G500" s="72"/>
      <c r="H500" s="72"/>
      <c r="I500" s="78"/>
      <c r="J500" s="72"/>
      <c r="K500" s="72"/>
      <c r="L500" s="72"/>
    </row>
    <row r="501" spans="1:14">
      <c r="B501" s="72"/>
      <c r="F501" s="72"/>
      <c r="G501" s="72"/>
      <c r="H501" s="72"/>
      <c r="I501" s="78"/>
      <c r="J501" s="72"/>
      <c r="K501" s="72"/>
      <c r="L501" s="72"/>
    </row>
    <row r="502" spans="1:14">
      <c r="A502" s="48" t="s">
        <v>2060</v>
      </c>
      <c r="B502" s="48" t="s">
        <v>1179</v>
      </c>
      <c r="C502" s="48">
        <v>2012</v>
      </c>
      <c r="D502" s="48" t="s">
        <v>2061</v>
      </c>
      <c r="E502" s="48" t="s">
        <v>1521</v>
      </c>
      <c r="F502" s="48"/>
      <c r="G502" s="52" t="s">
        <v>1530</v>
      </c>
      <c r="H502" s="48" t="s">
        <v>2062</v>
      </c>
      <c r="I502" s="71"/>
      <c r="J502" s="48"/>
      <c r="K502" s="48"/>
      <c r="L502" s="48"/>
    </row>
    <row r="503" spans="1:14">
      <c r="A503" t="s">
        <v>2060</v>
      </c>
      <c r="C503">
        <v>2024</v>
      </c>
      <c r="D503" t="s">
        <v>2063</v>
      </c>
      <c r="E503" t="s">
        <v>1521</v>
      </c>
      <c r="G503" s="27" t="s">
        <v>1533</v>
      </c>
      <c r="H503" t="s">
        <v>2064</v>
      </c>
    </row>
    <row r="504" spans="1:14">
      <c r="A504" t="s">
        <v>2060</v>
      </c>
      <c r="C504">
        <v>2006</v>
      </c>
      <c r="D504" t="s">
        <v>2065</v>
      </c>
      <c r="E504" t="s">
        <v>1521</v>
      </c>
      <c r="G504" s="27" t="s">
        <v>1538</v>
      </c>
      <c r="H504" t="s">
        <v>2066</v>
      </c>
    </row>
    <row r="505" spans="1:14">
      <c r="A505" t="s">
        <v>2060</v>
      </c>
      <c r="C505">
        <v>2014</v>
      </c>
      <c r="D505" t="s">
        <v>2067</v>
      </c>
      <c r="E505" t="s">
        <v>1521</v>
      </c>
      <c r="G505" t="s">
        <v>1546</v>
      </c>
      <c r="H505" t="s">
        <v>2068</v>
      </c>
    </row>
    <row r="507" spans="1:14">
      <c r="A507" s="48" t="s">
        <v>1467</v>
      </c>
      <c r="B507" s="48" t="s">
        <v>1187</v>
      </c>
      <c r="C507" s="48">
        <v>2024</v>
      </c>
      <c r="D507" s="48" t="s">
        <v>2063</v>
      </c>
      <c r="E507" s="48" t="s">
        <v>1521</v>
      </c>
      <c r="F507" s="48"/>
      <c r="G507" s="48"/>
      <c r="H507" s="48"/>
      <c r="I507" s="71"/>
      <c r="J507" s="48"/>
      <c r="K507" s="48"/>
      <c r="L507" s="48"/>
      <c r="M507" s="48"/>
      <c r="N507" s="48"/>
    </row>
    <row r="510" spans="1:14">
      <c r="A510" s="48" t="s">
        <v>1192</v>
      </c>
      <c r="B510" s="48" t="s">
        <v>1200</v>
      </c>
      <c r="C510" s="48">
        <v>2018</v>
      </c>
      <c r="D510" s="48" t="s">
        <v>2069</v>
      </c>
      <c r="E510" s="48" t="s">
        <v>1521</v>
      </c>
      <c r="F510" s="48"/>
      <c r="G510" s="48"/>
      <c r="H510" s="48"/>
      <c r="I510" s="71" t="s">
        <v>1530</v>
      </c>
      <c r="J510" s="34" t="s">
        <v>2070</v>
      </c>
      <c r="K510" s="48" t="s">
        <v>1530</v>
      </c>
      <c r="L510" s="48" t="s">
        <v>1762</v>
      </c>
    </row>
    <row r="511" spans="1:14">
      <c r="A511" t="s">
        <v>1192</v>
      </c>
      <c r="C511">
        <v>2011</v>
      </c>
      <c r="D511" t="s">
        <v>2071</v>
      </c>
      <c r="E511" t="s">
        <v>1521</v>
      </c>
      <c r="I511" s="63" t="s">
        <v>1533</v>
      </c>
      <c r="J511" s="27" t="s">
        <v>2072</v>
      </c>
    </row>
    <row r="512" spans="1:14">
      <c r="A512" t="s">
        <v>1192</v>
      </c>
      <c r="C512">
        <v>2024</v>
      </c>
      <c r="D512" t="s">
        <v>2073</v>
      </c>
      <c r="E512" t="s">
        <v>1521</v>
      </c>
      <c r="G512" t="s">
        <v>1530</v>
      </c>
      <c r="H512" t="s">
        <v>2074</v>
      </c>
    </row>
    <row r="513" spans="1:16">
      <c r="A513" t="s">
        <v>1192</v>
      </c>
      <c r="C513">
        <v>2022</v>
      </c>
      <c r="D513" t="s">
        <v>2075</v>
      </c>
      <c r="E513" t="s">
        <v>1521</v>
      </c>
      <c r="G513" t="s">
        <v>1533</v>
      </c>
      <c r="H513" t="s">
        <v>1894</v>
      </c>
      <c r="J513" s="27"/>
    </row>
    <row r="514" s="48" customFormat="1" spans="1:16">
      <c r="A514" s="48" t="s">
        <v>1192</v>
      </c>
      <c r="B514" s="48" t="s">
        <v>1193</v>
      </c>
      <c r="C514" s="48">
        <v>2024</v>
      </c>
      <c r="D514" s="48" t="s">
        <v>2076</v>
      </c>
      <c r="E514" s="48" t="s">
        <v>1521</v>
      </c>
      <c r="G514" s="48" t="s">
        <v>1538</v>
      </c>
      <c r="H514" s="48" t="s">
        <v>1939</v>
      </c>
      <c r="I514" s="71"/>
    </row>
    <row r="515" spans="1:16">
      <c r="A515" t="s">
        <v>1192</v>
      </c>
      <c r="C515">
        <v>2021</v>
      </c>
      <c r="D515" t="s">
        <v>2077</v>
      </c>
      <c r="E515" t="s">
        <v>1521</v>
      </c>
      <c r="G515" t="s">
        <v>1546</v>
      </c>
      <c r="H515" t="s">
        <v>2078</v>
      </c>
      <c r="K515" t="s">
        <v>1533</v>
      </c>
      <c r="L515" t="s">
        <v>2079</v>
      </c>
    </row>
    <row r="516" spans="1:16">
      <c r="A516" s="21" t="s">
        <v>2080</v>
      </c>
      <c r="B516" s="21" t="s">
        <v>1206</v>
      </c>
      <c r="C516" s="21">
        <v>2025</v>
      </c>
      <c r="D516" s="21" t="s">
        <v>2081</v>
      </c>
      <c r="E516" s="21" t="s">
        <v>1521</v>
      </c>
      <c r="F516" s="21"/>
      <c r="G516" s="21"/>
      <c r="H516" s="21"/>
      <c r="I516" s="23"/>
      <c r="J516" s="21"/>
      <c r="K516" s="21"/>
      <c r="L516" s="21"/>
      <c r="M516" s="21"/>
      <c r="N516" s="21"/>
    </row>
    <row r="518" spans="1:16">
      <c r="A518" s="48" t="s">
        <v>1212</v>
      </c>
      <c r="B518" s="48" t="s">
        <v>1213</v>
      </c>
      <c r="C518" s="48">
        <v>2016</v>
      </c>
      <c r="D518" s="48" t="s">
        <v>2082</v>
      </c>
      <c r="E518" s="48" t="s">
        <v>1521</v>
      </c>
      <c r="F518" s="48"/>
      <c r="G518" s="48"/>
      <c r="H518" s="48"/>
      <c r="I518" s="71"/>
      <c r="J518" s="48"/>
      <c r="K518" s="48"/>
      <c r="L518" s="48"/>
    </row>
    <row r="519" ht="15" spans="1:16">
      <c r="A519" s="66"/>
      <c r="C519" s="66"/>
    </row>
    <row r="520" spans="1:16">
      <c r="A520" s="72"/>
    </row>
    <row r="521" spans="1:16">
      <c r="A521" t="s">
        <v>1219</v>
      </c>
      <c r="C521">
        <v>2024</v>
      </c>
      <c r="D521" t="s">
        <v>2083</v>
      </c>
      <c r="E521" t="s">
        <v>1521</v>
      </c>
      <c r="G521" t="s">
        <v>1530</v>
      </c>
      <c r="H521" s="89" t="s">
        <v>1912</v>
      </c>
      <c r="J521" s="93"/>
    </row>
    <row r="522" s="48" customFormat="1" spans="1:16">
      <c r="A522" s="48" t="s">
        <v>1219</v>
      </c>
      <c r="B522" s="48" t="s">
        <v>1226</v>
      </c>
      <c r="C522" s="48">
        <v>2023</v>
      </c>
      <c r="D522" s="48" t="s">
        <v>2084</v>
      </c>
      <c r="E522" s="48" t="s">
        <v>1521</v>
      </c>
      <c r="G522" s="48" t="s">
        <v>1533</v>
      </c>
      <c r="H522" s="48" t="s">
        <v>1941</v>
      </c>
      <c r="I522" s="71"/>
      <c r="J522" s="94" t="s">
        <v>1617</v>
      </c>
      <c r="K522" s="48" t="s">
        <v>1530</v>
      </c>
      <c r="L522" s="48" t="s">
        <v>2085</v>
      </c>
    </row>
    <row r="523" spans="1:16">
      <c r="A523" t="s">
        <v>1219</v>
      </c>
      <c r="C523">
        <v>2020</v>
      </c>
      <c r="D523" t="s">
        <v>2086</v>
      </c>
      <c r="E523" t="s">
        <v>1521</v>
      </c>
      <c r="J523" s="95"/>
      <c r="K523" t="s">
        <v>1533</v>
      </c>
      <c r="L523" t="s">
        <v>2087</v>
      </c>
    </row>
    <row r="524" spans="1:16">
      <c r="A524" s="48" t="s">
        <v>1219</v>
      </c>
      <c r="B524" s="48" t="s">
        <v>679</v>
      </c>
      <c r="C524" s="48">
        <v>2014</v>
      </c>
      <c r="D524" s="48" t="s">
        <v>1831</v>
      </c>
      <c r="E524" s="48" t="s">
        <v>1521</v>
      </c>
      <c r="F524" s="48"/>
      <c r="G524" s="48"/>
      <c r="H524" s="48"/>
      <c r="I524" s="71"/>
      <c r="J524" s="94"/>
      <c r="K524" s="48"/>
      <c r="L524" s="94"/>
      <c r="M524" s="48"/>
      <c r="N524" s="94" t="s">
        <v>2088</v>
      </c>
    </row>
    <row r="525" spans="1:16">
      <c r="A525" t="s">
        <v>1219</v>
      </c>
      <c r="C525">
        <v>2023</v>
      </c>
      <c r="D525" t="s">
        <v>2089</v>
      </c>
      <c r="E525" s="72" t="s">
        <v>1521</v>
      </c>
      <c r="H525" s="89" t="s">
        <v>2090</v>
      </c>
      <c r="J525" s="93"/>
    </row>
    <row r="526" spans="1:16">
      <c r="A526" t="s">
        <v>1219</v>
      </c>
      <c r="C526">
        <v>2016</v>
      </c>
      <c r="D526" t="s">
        <v>2091</v>
      </c>
      <c r="E526" t="s">
        <v>1521</v>
      </c>
      <c r="H526" t="s">
        <v>1732</v>
      </c>
      <c r="J526" s="95"/>
      <c r="L526" s="95"/>
    </row>
    <row r="527" spans="1:16">
      <c r="A527" s="21" t="s">
        <v>2092</v>
      </c>
      <c r="B527" s="21"/>
      <c r="C527" s="21">
        <v>2025</v>
      </c>
      <c r="D527" s="21" t="s">
        <v>2093</v>
      </c>
      <c r="E527" s="21" t="s">
        <v>1521</v>
      </c>
      <c r="F527" s="21"/>
      <c r="G527" s="21"/>
      <c r="H527" s="21"/>
      <c r="I527" s="23"/>
      <c r="J527" s="21"/>
      <c r="K527" s="21"/>
      <c r="L527" s="21"/>
      <c r="M527" s="21"/>
      <c r="N527" s="21"/>
      <c r="O527" s="21"/>
      <c r="P527" s="21" t="s">
        <v>1817</v>
      </c>
    </row>
    <row r="529" s="48" customFormat="1" spans="1:14">
      <c r="A529" s="48" t="s">
        <v>2094</v>
      </c>
      <c r="B529" s="48" t="s">
        <v>679</v>
      </c>
      <c r="C529" s="48">
        <v>2014</v>
      </c>
      <c r="D529" s="48" t="s">
        <v>1831</v>
      </c>
      <c r="E529" s="48" t="s">
        <v>1521</v>
      </c>
      <c r="G529" s="48" t="s">
        <v>1530</v>
      </c>
      <c r="H529" s="48" t="s">
        <v>2085</v>
      </c>
      <c r="I529" s="71"/>
    </row>
    <row r="530" spans="1:14">
      <c r="A530" s="48" t="s">
        <v>2094</v>
      </c>
      <c r="B530" s="48" t="s">
        <v>1226</v>
      </c>
      <c r="C530" s="48">
        <v>2023</v>
      </c>
      <c r="D530" s="48" t="s">
        <v>2084</v>
      </c>
      <c r="E530" s="48" t="s">
        <v>1521</v>
      </c>
      <c r="F530" s="48"/>
      <c r="G530" s="48" t="s">
        <v>1533</v>
      </c>
      <c r="H530" s="48" t="s">
        <v>2095</v>
      </c>
      <c r="I530" s="71"/>
      <c r="J530" s="48" t="s">
        <v>1772</v>
      </c>
      <c r="K530" s="48"/>
      <c r="L530" s="48" t="s">
        <v>1807</v>
      </c>
      <c r="M530" s="48"/>
      <c r="N530" s="48"/>
    </row>
    <row r="532" s="48" customFormat="1" spans="1:14">
      <c r="A532" s="48" t="s">
        <v>1250</v>
      </c>
      <c r="B532" s="48" t="s">
        <v>1251</v>
      </c>
      <c r="C532" s="48">
        <v>2012</v>
      </c>
      <c r="D532" s="48" t="s">
        <v>2096</v>
      </c>
      <c r="E532" s="48" t="s">
        <v>1521</v>
      </c>
      <c r="G532" s="48" t="s">
        <v>1530</v>
      </c>
      <c r="H532" s="48" t="s">
        <v>2097</v>
      </c>
      <c r="I532" s="71"/>
    </row>
    <row r="533" s="62" customFormat="1" spans="1:14">
      <c r="A533" s="62" t="s">
        <v>2098</v>
      </c>
      <c r="C533" s="62">
        <v>2015</v>
      </c>
      <c r="D533" s="62" t="s">
        <v>2099</v>
      </c>
      <c r="E533" s="62" t="s">
        <v>1521</v>
      </c>
      <c r="F533" s="62" t="s">
        <v>2100</v>
      </c>
      <c r="I533" s="85"/>
    </row>
    <row r="534" ht="17.5" spans="1:14">
      <c r="A534" s="20"/>
      <c r="C534" s="86"/>
    </row>
    <row r="535" spans="1:14">
      <c r="A535" s="48" t="s">
        <v>1257</v>
      </c>
      <c r="B535" s="48" t="s">
        <v>1258</v>
      </c>
      <c r="C535" s="48">
        <v>2010</v>
      </c>
      <c r="D535" s="48" t="s">
        <v>2101</v>
      </c>
      <c r="E535" s="48" t="s">
        <v>1521</v>
      </c>
      <c r="F535" s="48"/>
      <c r="G535" s="48" t="s">
        <v>1530</v>
      </c>
      <c r="H535" s="48" t="s">
        <v>2102</v>
      </c>
      <c r="I535" s="71"/>
      <c r="J535" s="48"/>
      <c r="K535" s="48"/>
      <c r="L535" s="48"/>
    </row>
    <row r="536" spans="1:14">
      <c r="A536" t="s">
        <v>1257</v>
      </c>
      <c r="C536">
        <v>2012</v>
      </c>
      <c r="D536" t="s">
        <v>2103</v>
      </c>
      <c r="E536" t="s">
        <v>1521</v>
      </c>
      <c r="G536" t="s">
        <v>1533</v>
      </c>
      <c r="H536" t="s">
        <v>2104</v>
      </c>
    </row>
    <row r="537" spans="1:14">
      <c r="A537" t="s">
        <v>1257</v>
      </c>
      <c r="C537">
        <v>2021</v>
      </c>
      <c r="D537" t="s">
        <v>2105</v>
      </c>
      <c r="E537" t="s">
        <v>1521</v>
      </c>
      <c r="G537" t="s">
        <v>1538</v>
      </c>
      <c r="H537" s="89" t="s">
        <v>2106</v>
      </c>
    </row>
    <row r="538" spans="1:14">
      <c r="A538" t="s">
        <v>1257</v>
      </c>
      <c r="C538">
        <v>2020</v>
      </c>
      <c r="D538" t="s">
        <v>2107</v>
      </c>
      <c r="E538" t="s">
        <v>1521</v>
      </c>
      <c r="G538" t="s">
        <v>1546</v>
      </c>
      <c r="H538" s="89" t="s">
        <v>2108</v>
      </c>
    </row>
    <row r="539" ht="15" spans="1:14">
      <c r="A539" s="66"/>
      <c r="C539" s="66"/>
    </row>
    <row r="540" spans="1:14">
      <c r="A540" s="48" t="s">
        <v>1264</v>
      </c>
      <c r="B540" s="48" t="s">
        <v>1258</v>
      </c>
      <c r="C540" s="48">
        <v>2010</v>
      </c>
      <c r="D540" s="48" t="s">
        <v>2101</v>
      </c>
      <c r="E540" s="48" t="s">
        <v>1521</v>
      </c>
      <c r="F540" s="48"/>
      <c r="G540" s="48"/>
      <c r="H540" s="48"/>
      <c r="I540" s="71"/>
      <c r="J540" s="48"/>
      <c r="K540" s="48"/>
      <c r="L540" s="48"/>
    </row>
    <row r="541" ht="15" spans="1:14">
      <c r="A541" s="66"/>
      <c r="C541" s="66"/>
    </row>
    <row r="542" spans="1:14">
      <c r="A542" s="48" t="s">
        <v>1269</v>
      </c>
      <c r="B542" s="48" t="s">
        <v>1258</v>
      </c>
      <c r="C542" s="48">
        <v>2010</v>
      </c>
      <c r="D542" s="48" t="s">
        <v>2101</v>
      </c>
      <c r="E542" s="48" t="s">
        <v>1521</v>
      </c>
      <c r="F542" s="48"/>
      <c r="G542" s="48"/>
      <c r="H542" s="48"/>
      <c r="I542" s="71"/>
      <c r="J542" s="48"/>
      <c r="K542" s="48"/>
      <c r="L542" s="48"/>
    </row>
    <row r="543" ht="15" spans="1:14">
      <c r="A543" s="66"/>
      <c r="C543" s="66"/>
    </row>
    <row r="544" spans="1:14">
      <c r="A544" t="s">
        <v>1469</v>
      </c>
      <c r="C544">
        <v>2015</v>
      </c>
      <c r="D544" t="s">
        <v>2109</v>
      </c>
      <c r="E544" t="s">
        <v>1521</v>
      </c>
      <c r="G544" t="s">
        <v>1530</v>
      </c>
      <c r="H544" t="s">
        <v>1834</v>
      </c>
    </row>
    <row r="545" spans="1:20">
      <c r="A545" s="62" t="s">
        <v>1469</v>
      </c>
      <c r="B545" s="62"/>
      <c r="C545" s="62">
        <v>2015</v>
      </c>
      <c r="D545" s="62" t="s">
        <v>2110</v>
      </c>
      <c r="E545" s="62" t="s">
        <v>1521</v>
      </c>
      <c r="F545" s="62" t="s">
        <v>1768</v>
      </c>
      <c r="G545" s="62"/>
      <c r="H545" s="62"/>
      <c r="I545" s="85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</row>
    <row r="546" spans="1:20">
      <c r="A546" t="s">
        <v>1469</v>
      </c>
      <c r="C546">
        <v>2007</v>
      </c>
      <c r="D546" t="s">
        <v>2111</v>
      </c>
      <c r="E546" t="s">
        <v>1521</v>
      </c>
      <c r="G546" t="s">
        <v>1533</v>
      </c>
      <c r="H546" t="s">
        <v>1922</v>
      </c>
    </row>
    <row r="547" spans="1:20">
      <c r="A547" s="48" t="s">
        <v>1469</v>
      </c>
      <c r="B547" s="69" t="s">
        <v>1275</v>
      </c>
      <c r="C547" s="48">
        <v>2020</v>
      </c>
      <c r="D547" s="48" t="s">
        <v>2112</v>
      </c>
      <c r="E547" s="48" t="s">
        <v>1521</v>
      </c>
      <c r="F547" s="69"/>
      <c r="G547" s="69" t="s">
        <v>1538</v>
      </c>
      <c r="H547" s="69" t="s">
        <v>1854</v>
      </c>
      <c r="I547" s="70"/>
      <c r="J547" s="69"/>
      <c r="K547" s="69"/>
      <c r="L547" s="69"/>
    </row>
    <row r="548" s="48" customFormat="1" spans="1:20">
      <c r="A548" s="48" t="s">
        <v>1469</v>
      </c>
      <c r="B548" s="48" t="s">
        <v>1282</v>
      </c>
      <c r="C548" s="48">
        <v>2015</v>
      </c>
      <c r="D548" s="48" t="s">
        <v>2113</v>
      </c>
      <c r="E548" s="48" t="s">
        <v>1521</v>
      </c>
      <c r="G548" s="48" t="s">
        <v>1546</v>
      </c>
      <c r="H548" s="48" t="s">
        <v>2114</v>
      </c>
      <c r="I548" s="71"/>
    </row>
    <row r="549" spans="1:20">
      <c r="A549" t="s">
        <v>1469</v>
      </c>
      <c r="B549" s="72"/>
      <c r="C549">
        <v>2023</v>
      </c>
      <c r="D549" t="s">
        <v>2115</v>
      </c>
      <c r="E549" t="s">
        <v>1521</v>
      </c>
      <c r="F549" s="72"/>
      <c r="G549" s="72" t="s">
        <v>1581</v>
      </c>
      <c r="H549" s="72" t="s">
        <v>1719</v>
      </c>
      <c r="I549" s="78"/>
      <c r="J549" s="72"/>
      <c r="K549" s="72"/>
      <c r="L549" s="72"/>
    </row>
    <row r="550" spans="1:20">
      <c r="A550" s="62" t="s">
        <v>2116</v>
      </c>
      <c r="B550" s="62"/>
      <c r="C550" s="62">
        <v>2025</v>
      </c>
      <c r="D550" s="62" t="s">
        <v>2117</v>
      </c>
      <c r="E550" s="62" t="s">
        <v>1521</v>
      </c>
      <c r="F550" s="62" t="s">
        <v>2100</v>
      </c>
      <c r="G550" s="62"/>
      <c r="H550" s="62"/>
      <c r="I550" s="85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</row>
    <row r="551" spans="1:20">
      <c r="A551" t="s">
        <v>1469</v>
      </c>
      <c r="C551">
        <v>2016</v>
      </c>
      <c r="D551" t="s">
        <v>1765</v>
      </c>
      <c r="E551" t="s">
        <v>1521</v>
      </c>
      <c r="G551" t="s">
        <v>1583</v>
      </c>
      <c r="H551" t="s">
        <v>1817</v>
      </c>
    </row>
    <row r="554" spans="1:20">
      <c r="A554" t="s">
        <v>2118</v>
      </c>
      <c r="C554">
        <v>2022</v>
      </c>
      <c r="D554" t="s">
        <v>2119</v>
      </c>
      <c r="E554" t="s">
        <v>1521</v>
      </c>
      <c r="G554" t="s">
        <v>1530</v>
      </c>
      <c r="H554" t="s">
        <v>2120</v>
      </c>
    </row>
    <row r="555" spans="1:20">
      <c r="A555" s="48" t="s">
        <v>2118</v>
      </c>
      <c r="B555" s="48" t="s">
        <v>1293</v>
      </c>
      <c r="C555" s="48">
        <v>2023</v>
      </c>
      <c r="D555" s="48" t="s">
        <v>2121</v>
      </c>
      <c r="E555" s="48" t="s">
        <v>1521</v>
      </c>
      <c r="F555" s="48"/>
      <c r="G555" s="48" t="s">
        <v>1533</v>
      </c>
      <c r="H555" s="48" t="s">
        <v>2120</v>
      </c>
      <c r="I555" s="71"/>
      <c r="J555" s="48"/>
      <c r="K555" s="48"/>
      <c r="L555" s="48"/>
    </row>
    <row r="557" spans="1:20">
      <c r="A557" s="48" t="s">
        <v>1302</v>
      </c>
      <c r="B557" s="48" t="s">
        <v>1303</v>
      </c>
      <c r="C557" s="48">
        <v>2020</v>
      </c>
      <c r="D557" s="48" t="s">
        <v>2122</v>
      </c>
      <c r="E557" s="48" t="s">
        <v>1521</v>
      </c>
      <c r="F557" s="48"/>
      <c r="G557" s="48"/>
      <c r="H557" s="48"/>
      <c r="I557" s="71"/>
      <c r="J557" s="48"/>
      <c r="K557" s="48"/>
      <c r="L557" s="48"/>
    </row>
    <row r="559" spans="1:20">
      <c r="A559" s="48" t="s">
        <v>2123</v>
      </c>
      <c r="B559" s="48" t="s">
        <v>1316</v>
      </c>
      <c r="C559" s="48">
        <v>2021</v>
      </c>
      <c r="D559" s="48" t="s">
        <v>2124</v>
      </c>
      <c r="E559" s="48" t="s">
        <v>1521</v>
      </c>
      <c r="F559" s="48"/>
      <c r="G559" s="48"/>
      <c r="H559" s="48"/>
      <c r="I559" s="71"/>
      <c r="J559" s="48"/>
      <c r="K559" s="48"/>
      <c r="L559" s="48"/>
    </row>
    <row r="560" ht="15" spans="1:20">
      <c r="A560" s="66"/>
      <c r="C560" s="66"/>
    </row>
    <row r="562" spans="1:12">
      <c r="A562" t="s">
        <v>1322</v>
      </c>
      <c r="C562">
        <v>2016</v>
      </c>
      <c r="D562" t="s">
        <v>2125</v>
      </c>
      <c r="E562" t="s">
        <v>1521</v>
      </c>
      <c r="G562" t="s">
        <v>1530</v>
      </c>
      <c r="H562" t="s">
        <v>2008</v>
      </c>
    </row>
    <row r="563" spans="1:12">
      <c r="A563" s="48" t="s">
        <v>1322</v>
      </c>
      <c r="B563" s="48" t="s">
        <v>1323</v>
      </c>
      <c r="C563" s="48">
        <v>2019</v>
      </c>
      <c r="D563" s="48" t="s">
        <v>2126</v>
      </c>
      <c r="E563" s="48" t="s">
        <v>1521</v>
      </c>
      <c r="F563" s="48"/>
      <c r="G563" s="48" t="s">
        <v>1533</v>
      </c>
      <c r="H563" s="48" t="s">
        <v>2127</v>
      </c>
      <c r="I563" s="71"/>
      <c r="J563" s="48"/>
      <c r="K563" s="48"/>
      <c r="L563" s="48"/>
    </row>
    <row r="564" spans="1:12">
      <c r="A564" s="72"/>
    </row>
    <row r="565" spans="1:12">
      <c r="A565" s="48" t="s">
        <v>1338</v>
      </c>
      <c r="B565" s="48" t="s">
        <v>1339</v>
      </c>
      <c r="C565" s="48">
        <v>2018</v>
      </c>
      <c r="D565" s="48" t="s">
        <v>2128</v>
      </c>
      <c r="E565" s="48" t="s">
        <v>1521</v>
      </c>
      <c r="F565" s="48"/>
      <c r="G565" s="48"/>
      <c r="H565" s="48"/>
      <c r="I565" s="71"/>
      <c r="J565" s="48"/>
      <c r="K565" s="48"/>
      <c r="L565" s="48"/>
    </row>
    <row r="566" spans="1:12">
      <c r="A566" t="s">
        <v>1338</v>
      </c>
      <c r="C566">
        <v>2021</v>
      </c>
      <c r="D566" t="s">
        <v>1978</v>
      </c>
      <c r="E566" t="s">
        <v>1521</v>
      </c>
    </row>
    <row r="568" spans="1:12">
      <c r="A568" t="s">
        <v>2129</v>
      </c>
      <c r="C568">
        <v>2021</v>
      </c>
      <c r="D568" t="s">
        <v>2130</v>
      </c>
      <c r="E568" t="s">
        <v>1521</v>
      </c>
    </row>
    <row r="569" spans="1:12">
      <c r="A569" s="48" t="s">
        <v>2129</v>
      </c>
      <c r="B569" s="48" t="s">
        <v>1347</v>
      </c>
      <c r="C569" s="48">
        <v>2011</v>
      </c>
      <c r="D569" s="48" t="s">
        <v>2131</v>
      </c>
      <c r="E569" s="48" t="s">
        <v>1521</v>
      </c>
      <c r="F569" s="48"/>
      <c r="G569" s="48"/>
      <c r="H569" s="48"/>
      <c r="I569" s="71"/>
      <c r="J569" s="48"/>
      <c r="K569" s="48"/>
      <c r="L569" s="48"/>
    </row>
    <row r="570" spans="1:12">
      <c r="C570" s="20"/>
    </row>
    <row r="571" spans="1:12">
      <c r="A571" s="48" t="s">
        <v>1475</v>
      </c>
      <c r="B571" s="48" t="s">
        <v>486</v>
      </c>
      <c r="C571" s="48">
        <v>2015</v>
      </c>
      <c r="D571" s="48" t="s">
        <v>1714</v>
      </c>
      <c r="E571" s="48" t="s">
        <v>1521</v>
      </c>
      <c r="F571" s="48"/>
      <c r="G571" s="48"/>
      <c r="H571" s="48" t="s">
        <v>1813</v>
      </c>
      <c r="I571" s="71"/>
      <c r="J571" s="48"/>
      <c r="K571" s="48"/>
      <c r="L571" s="48"/>
    </row>
    <row r="572" spans="1:12">
      <c r="A572" t="s">
        <v>1475</v>
      </c>
      <c r="B572" s="72"/>
      <c r="C572">
        <v>2017</v>
      </c>
      <c r="D572" t="s">
        <v>2132</v>
      </c>
      <c r="E572" t="s">
        <v>1521</v>
      </c>
      <c r="F572" s="72"/>
      <c r="G572" s="72"/>
      <c r="H572" s="72" t="s">
        <v>1732</v>
      </c>
      <c r="I572" s="78"/>
      <c r="J572" s="72"/>
      <c r="K572" s="72"/>
      <c r="L572" s="72"/>
    </row>
    <row r="573" spans="1:12">
      <c r="A573" t="s">
        <v>1475</v>
      </c>
      <c r="C573">
        <v>2011</v>
      </c>
      <c r="D573" t="s">
        <v>2133</v>
      </c>
      <c r="E573" t="s">
        <v>1521</v>
      </c>
      <c r="H573" t="s">
        <v>1732</v>
      </c>
    </row>
    <row r="574" spans="1:12">
      <c r="A574" t="s">
        <v>1475</v>
      </c>
      <c r="C574">
        <v>2004</v>
      </c>
      <c r="E574" t="s">
        <v>1521</v>
      </c>
      <c r="H574" s="72" t="s">
        <v>1732</v>
      </c>
    </row>
    <row r="576" spans="1:12">
      <c r="A576" s="48" t="s">
        <v>1368</v>
      </c>
      <c r="B576" s="48" t="s">
        <v>1369</v>
      </c>
      <c r="C576" s="48">
        <v>2021</v>
      </c>
      <c r="D576" s="48" t="s">
        <v>2134</v>
      </c>
      <c r="E576" s="48" t="s">
        <v>1521</v>
      </c>
      <c r="F576" s="48"/>
      <c r="G576" s="48"/>
      <c r="H576" s="48"/>
      <c r="I576" s="71"/>
      <c r="J576" s="48"/>
      <c r="K576" s="48"/>
      <c r="L576" s="48"/>
    </row>
    <row r="578" spans="1:12">
      <c r="A578" s="48" t="s">
        <v>1374</v>
      </c>
      <c r="B578" s="48" t="s">
        <v>1375</v>
      </c>
      <c r="C578" s="48">
        <v>2020</v>
      </c>
      <c r="D578" s="48" t="s">
        <v>2135</v>
      </c>
      <c r="E578" s="48" t="s">
        <v>1521</v>
      </c>
      <c r="F578" s="48"/>
      <c r="G578" s="48"/>
      <c r="H578" s="48"/>
      <c r="I578" s="71"/>
      <c r="J578" s="48"/>
      <c r="K578" s="48"/>
      <c r="L578" s="48"/>
    </row>
    <row r="580" spans="1:12">
      <c r="A580" s="48" t="s">
        <v>1380</v>
      </c>
      <c r="B580" s="48" t="s">
        <v>1381</v>
      </c>
      <c r="C580" s="48">
        <v>2018</v>
      </c>
      <c r="D580" s="48" t="s">
        <v>2136</v>
      </c>
      <c r="E580" s="48" t="s">
        <v>1521</v>
      </c>
      <c r="F580" s="48"/>
      <c r="G580" s="48"/>
      <c r="H580" s="48"/>
      <c r="I580" s="71"/>
      <c r="J580" s="48"/>
      <c r="K580" s="48"/>
      <c r="L580" s="48"/>
    </row>
    <row r="581" spans="1:12">
      <c r="A581" t="s">
        <v>1380</v>
      </c>
      <c r="C581">
        <v>2015</v>
      </c>
      <c r="D581" t="s">
        <v>2137</v>
      </c>
      <c r="E581" t="s">
        <v>1521</v>
      </c>
    </row>
    <row r="582" spans="1:12">
      <c r="B582" s="72"/>
      <c r="F582" s="72"/>
      <c r="G582" s="72"/>
      <c r="H582" s="72"/>
      <c r="I582" s="78"/>
      <c r="J582" s="72"/>
      <c r="K582" s="72"/>
      <c r="L582" s="72"/>
    </row>
    <row r="583" spans="1:12">
      <c r="A583" s="48" t="s">
        <v>2138</v>
      </c>
      <c r="B583" s="69" t="s">
        <v>1355</v>
      </c>
      <c r="C583" s="48">
        <v>2018</v>
      </c>
      <c r="D583" s="48" t="s">
        <v>2139</v>
      </c>
      <c r="E583" s="48" t="s">
        <v>1521</v>
      </c>
      <c r="F583" s="69"/>
      <c r="G583" s="69"/>
      <c r="H583" s="69"/>
      <c r="I583" s="70"/>
      <c r="J583" s="69"/>
      <c r="K583" s="69"/>
      <c r="L583" s="69"/>
    </row>
    <row r="585" spans="1:12">
      <c r="A585" t="s">
        <v>2140</v>
      </c>
    </row>
    <row r="586" spans="1:12">
      <c r="A586" s="96"/>
      <c r="B586" s="96"/>
      <c r="C586" s="96">
        <v>2017</v>
      </c>
      <c r="D586" s="96" t="s">
        <v>2141</v>
      </c>
      <c r="E586" s="96" t="s">
        <v>1521</v>
      </c>
      <c r="F586" s="96"/>
      <c r="G586" s="96"/>
      <c r="H586" s="96"/>
      <c r="I586" s="97"/>
      <c r="J586" s="96"/>
      <c r="K586" s="96"/>
      <c r="L586" s="96"/>
    </row>
    <row r="587" spans="1:12">
      <c r="A587" t="s">
        <v>2142</v>
      </c>
    </row>
    <row r="588" spans="1:12">
      <c r="A588" s="96"/>
      <c r="B588" s="96"/>
      <c r="C588" s="96">
        <v>2018</v>
      </c>
      <c r="D588" s="96" t="s">
        <v>2143</v>
      </c>
      <c r="E588" s="96" t="s">
        <v>1521</v>
      </c>
      <c r="F588" s="96"/>
      <c r="G588" s="96"/>
      <c r="H588" s="96"/>
      <c r="I588" s="97"/>
      <c r="J588" s="96"/>
      <c r="K588" s="96"/>
      <c r="L588" s="96"/>
    </row>
    <row r="589" spans="1:12">
      <c r="A589" t="s">
        <v>2144</v>
      </c>
    </row>
    <row r="590" spans="1:12">
      <c r="A590" s="96"/>
      <c r="B590" s="96"/>
      <c r="C590" s="96">
        <v>2018</v>
      </c>
      <c r="D590" s="96" t="s">
        <v>2145</v>
      </c>
      <c r="E590" s="96" t="s">
        <v>1521</v>
      </c>
      <c r="F590" s="96"/>
      <c r="G590" s="96"/>
      <c r="H590" s="96"/>
      <c r="I590" s="97"/>
      <c r="J590" s="96"/>
      <c r="K590" s="96"/>
      <c r="L590" s="96"/>
    </row>
    <row r="591" ht="15" spans="1:12">
      <c r="A591" s="67" t="s">
        <v>2146</v>
      </c>
      <c r="C591" s="66"/>
    </row>
    <row r="592" spans="1:12">
      <c r="A592" s="96"/>
      <c r="B592" s="96"/>
      <c r="C592" s="96">
        <v>2020</v>
      </c>
      <c r="D592" s="96" t="s">
        <v>2147</v>
      </c>
      <c r="E592" s="96" t="s">
        <v>1521</v>
      </c>
      <c r="F592" s="96"/>
      <c r="G592" s="96"/>
      <c r="H592" s="96"/>
      <c r="I592" s="97"/>
      <c r="J592" s="96"/>
      <c r="K592" s="96"/>
      <c r="L592" s="96"/>
    </row>
    <row r="593" spans="1:14">
      <c r="A593" t="s">
        <v>2148</v>
      </c>
    </row>
    <row r="594" spans="1:14">
      <c r="A594" s="96"/>
      <c r="B594" s="96"/>
      <c r="C594" s="96">
        <v>2016</v>
      </c>
      <c r="D594" s="96" t="s">
        <v>2149</v>
      </c>
      <c r="E594" s="96" t="s">
        <v>1521</v>
      </c>
      <c r="F594" s="96"/>
      <c r="G594" s="96"/>
      <c r="H594" s="96"/>
      <c r="I594" s="97"/>
      <c r="J594" s="96"/>
      <c r="K594" s="96"/>
      <c r="L594" s="96"/>
    </row>
    <row r="595" spans="1:14">
      <c r="A595" s="21" t="s">
        <v>2150</v>
      </c>
      <c r="B595" s="21"/>
      <c r="C595" s="21">
        <v>2025</v>
      </c>
      <c r="D595" s="21" t="s">
        <v>2151</v>
      </c>
      <c r="E595" s="21" t="s">
        <v>1521</v>
      </c>
      <c r="F595" s="21"/>
      <c r="G595" s="21"/>
      <c r="H595" s="21"/>
      <c r="I595" s="23"/>
      <c r="J595" s="21"/>
      <c r="K595" s="21"/>
      <c r="L595" s="21"/>
      <c r="M595" s="21"/>
      <c r="N595" s="21"/>
    </row>
    <row r="596" spans="1:14">
      <c r="A596" s="21" t="s">
        <v>2150</v>
      </c>
      <c r="B596" s="21"/>
      <c r="C596" s="21">
        <v>2025</v>
      </c>
      <c r="D596" s="21" t="s">
        <v>2152</v>
      </c>
      <c r="E596" s="21" t="s">
        <v>1521</v>
      </c>
      <c r="F596" s="21"/>
      <c r="G596" s="21"/>
      <c r="H596" s="21"/>
      <c r="I596" s="23"/>
      <c r="J596" s="21"/>
      <c r="K596" s="21"/>
      <c r="L596" s="21"/>
      <c r="M596" s="21"/>
      <c r="N596" s="21"/>
    </row>
    <row r="597" spans="1:14">
      <c r="A597" t="s">
        <v>2153</v>
      </c>
    </row>
    <row r="598" spans="1:14">
      <c r="A598" s="96"/>
      <c r="B598" s="96"/>
      <c r="C598" s="96">
        <v>2021</v>
      </c>
      <c r="D598" s="96" t="s">
        <v>2154</v>
      </c>
      <c r="E598" s="96" t="s">
        <v>1521</v>
      </c>
      <c r="F598" s="96"/>
      <c r="G598" s="96"/>
      <c r="H598" s="96"/>
      <c r="I598" s="97"/>
      <c r="J598" s="96"/>
      <c r="K598" s="96"/>
      <c r="L598" s="96"/>
    </row>
    <row r="599" spans="1:14">
      <c r="A599" t="s">
        <v>2155</v>
      </c>
    </row>
    <row r="600" spans="1:14">
      <c r="A600" s="96"/>
      <c r="B600" s="96"/>
      <c r="C600" s="96">
        <v>2022</v>
      </c>
      <c r="D600" s="96" t="s">
        <v>2156</v>
      </c>
      <c r="E600" s="96" t="s">
        <v>1521</v>
      </c>
      <c r="F600" s="96"/>
      <c r="G600" s="96"/>
      <c r="H600" s="96"/>
      <c r="I600" s="97"/>
      <c r="J600" s="96"/>
      <c r="K600" s="96"/>
      <c r="L600" s="96"/>
    </row>
    <row r="601" spans="1:14">
      <c r="A601" t="s">
        <v>2157</v>
      </c>
    </row>
    <row r="602" spans="1:14">
      <c r="A602" s="96"/>
      <c r="B602" s="96"/>
      <c r="C602" s="96">
        <v>2024</v>
      </c>
      <c r="D602" s="96" t="s">
        <v>2158</v>
      </c>
      <c r="E602" s="96" t="s">
        <v>1521</v>
      </c>
      <c r="F602" s="96"/>
      <c r="G602" s="96"/>
      <c r="H602" s="96"/>
      <c r="I602" s="97"/>
      <c r="J602" s="96"/>
      <c r="K602" s="96"/>
      <c r="L602" s="96"/>
    </row>
    <row r="603" spans="1:14">
      <c r="A603" t="s">
        <v>2159</v>
      </c>
    </row>
    <row r="604" spans="1:14">
      <c r="A604" s="96"/>
      <c r="B604" s="96"/>
      <c r="C604" s="96">
        <v>2002</v>
      </c>
      <c r="D604" s="96" t="s">
        <v>2160</v>
      </c>
      <c r="E604" s="96" t="s">
        <v>1521</v>
      </c>
      <c r="F604" s="96"/>
      <c r="G604" s="96"/>
      <c r="H604" s="96"/>
      <c r="I604" s="97"/>
      <c r="J604" s="96"/>
      <c r="K604" s="96"/>
      <c r="L604" s="96"/>
    </row>
    <row r="605" spans="1:14">
      <c r="A605" t="s">
        <v>2161</v>
      </c>
    </row>
    <row r="606" spans="1:14">
      <c r="A606" s="96"/>
      <c r="B606" s="96"/>
      <c r="C606" s="96">
        <v>2018</v>
      </c>
      <c r="D606" s="96" t="s">
        <v>2162</v>
      </c>
      <c r="E606" s="96" t="s">
        <v>1521</v>
      </c>
      <c r="F606" s="96"/>
      <c r="G606" s="96"/>
      <c r="H606" s="96"/>
      <c r="I606" s="97"/>
      <c r="J606" s="96"/>
      <c r="K606" s="96"/>
      <c r="L606" s="96"/>
    </row>
    <row r="607" spans="1:14">
      <c r="A607" t="s">
        <v>2163</v>
      </c>
    </row>
    <row r="608" spans="1:14">
      <c r="A608" s="96"/>
      <c r="B608" s="96"/>
      <c r="C608" s="96">
        <v>2019</v>
      </c>
      <c r="D608" s="96" t="s">
        <v>2164</v>
      </c>
      <c r="E608" s="96" t="s">
        <v>1521</v>
      </c>
      <c r="F608" s="96"/>
      <c r="G608" s="96"/>
      <c r="H608" s="96"/>
      <c r="I608" s="97"/>
      <c r="J608" s="96"/>
      <c r="K608" s="96"/>
      <c r="L608" s="96"/>
    </row>
    <row r="609" spans="1:14">
      <c r="A609" s="36" t="s">
        <v>2165</v>
      </c>
    </row>
    <row r="610" spans="1:14">
      <c r="A610" s="96"/>
      <c r="B610" s="96"/>
      <c r="C610" s="96">
        <v>2023</v>
      </c>
      <c r="D610" s="96" t="s">
        <v>2166</v>
      </c>
      <c r="E610" s="96" t="s">
        <v>1521</v>
      </c>
      <c r="F610" s="96"/>
      <c r="G610" s="96"/>
      <c r="H610" s="96"/>
      <c r="I610" s="97"/>
      <c r="J610" s="96"/>
      <c r="K610" s="96"/>
      <c r="L610" s="96"/>
    </row>
    <row r="612" spans="1:14">
      <c r="A612" s="96" t="s">
        <v>2167</v>
      </c>
      <c r="B612" s="96"/>
      <c r="C612" s="96">
        <v>2019</v>
      </c>
      <c r="D612" s="96" t="s">
        <v>2168</v>
      </c>
      <c r="E612" s="96" t="s">
        <v>1521</v>
      </c>
      <c r="F612" s="96"/>
      <c r="G612" s="96"/>
      <c r="H612" s="96"/>
      <c r="I612" s="97"/>
      <c r="J612" s="96"/>
      <c r="K612" s="96"/>
      <c r="L612" s="96"/>
    </row>
    <row r="614" spans="1:14">
      <c r="A614" s="96" t="s">
        <v>2169</v>
      </c>
      <c r="B614" s="96"/>
      <c r="C614" s="96">
        <v>2021</v>
      </c>
      <c r="D614" s="96" t="s">
        <v>1728</v>
      </c>
      <c r="E614" s="96" t="s">
        <v>1521</v>
      </c>
      <c r="F614" s="96"/>
      <c r="G614" s="96"/>
      <c r="H614" s="96"/>
      <c r="I614" s="97"/>
      <c r="J614" s="96"/>
      <c r="K614" s="96"/>
      <c r="L614" s="96"/>
      <c r="M614" s="96"/>
      <c r="N614" s="96"/>
    </row>
    <row r="616" spans="1:14">
      <c r="A616" s="21" t="s">
        <v>2170</v>
      </c>
      <c r="B616" s="21"/>
      <c r="C616" s="21">
        <v>2025</v>
      </c>
      <c r="D616" s="21" t="s">
        <v>2171</v>
      </c>
      <c r="E616" s="21" t="s">
        <v>1521</v>
      </c>
      <c r="F616" s="21"/>
      <c r="G616" s="21"/>
      <c r="H616" s="21"/>
      <c r="I616" s="23"/>
      <c r="J616" s="21"/>
      <c r="K616" s="21"/>
      <c r="L616" s="21"/>
      <c r="M616" s="21"/>
      <c r="N616" s="21"/>
    </row>
  </sheetData>
  <autoFilter xmlns:etc="http://www.wps.cn/officeDocument/2017/etCustomData" ref="F1:F616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0"/>
  <sheetViews>
    <sheetView workbookViewId="0">
      <selection activeCell="B1" sqref="B$1:B$1048576"/>
    </sheetView>
  </sheetViews>
  <sheetFormatPr defaultColWidth="8.69090909090909" defaultRowHeight="14" outlineLevelCol="1"/>
  <cols>
    <col min="1" max="1" width="38.6909090909091" customWidth="1"/>
    <col min="2" max="2" width="35.0727272727273" style="60" customWidth="1"/>
  </cols>
  <sheetData>
    <row r="1" spans="1:2">
      <c r="A1" s="26" t="s">
        <v>0</v>
      </c>
      <c r="B1" s="32" t="s">
        <v>1</v>
      </c>
    </row>
    <row r="2" spans="1:2">
      <c r="A2" s="33" t="s">
        <v>30</v>
      </c>
      <c r="B2" s="61" t="s">
        <v>1399</v>
      </c>
    </row>
    <row r="3" spans="1:2">
      <c r="A3" s="33" t="s">
        <v>46</v>
      </c>
      <c r="B3" s="61" t="s">
        <v>1399</v>
      </c>
    </row>
    <row r="4" spans="1:2">
      <c r="A4" s="41" t="s">
        <v>53</v>
      </c>
      <c r="B4" s="61" t="s">
        <v>1399</v>
      </c>
    </row>
    <row r="5" spans="1:2">
      <c r="A5" s="33" t="s">
        <v>64</v>
      </c>
      <c r="B5" s="61" t="s">
        <v>75</v>
      </c>
    </row>
    <row r="6" spans="1:2">
      <c r="A6" s="33" t="s">
        <v>74</v>
      </c>
      <c r="B6" s="61" t="s">
        <v>75</v>
      </c>
    </row>
    <row r="7" spans="1:2">
      <c r="A7" s="33" t="s">
        <v>84</v>
      </c>
      <c r="B7" s="61" t="s">
        <v>75</v>
      </c>
    </row>
    <row r="8" spans="1:2">
      <c r="A8" s="33" t="s">
        <v>91</v>
      </c>
      <c r="B8" s="61" t="s">
        <v>75</v>
      </c>
    </row>
    <row r="9" spans="1:2">
      <c r="A9" s="33" t="s">
        <v>95</v>
      </c>
      <c r="B9" s="61" t="s">
        <v>75</v>
      </c>
    </row>
    <row r="10" spans="1:2">
      <c r="A10" s="33" t="s">
        <v>102</v>
      </c>
      <c r="B10" s="61" t="s">
        <v>1405</v>
      </c>
    </row>
    <row r="11" spans="1:2">
      <c r="A11" s="39" t="s">
        <v>112</v>
      </c>
      <c r="B11" s="61" t="s">
        <v>113</v>
      </c>
    </row>
    <row r="12" spans="1:2">
      <c r="A12" s="39" t="s">
        <v>120</v>
      </c>
      <c r="B12" s="61" t="s">
        <v>113</v>
      </c>
    </row>
    <row r="13" spans="1:2">
      <c r="A13" s="33" t="s">
        <v>125</v>
      </c>
      <c r="B13" s="61" t="s">
        <v>1407</v>
      </c>
    </row>
    <row r="14" spans="1:2">
      <c r="A14" s="33" t="s">
        <v>134</v>
      </c>
      <c r="B14" s="61" t="s">
        <v>1407</v>
      </c>
    </row>
    <row r="15" spans="1:2">
      <c r="A15" s="33" t="s">
        <v>139</v>
      </c>
      <c r="B15" s="61" t="s">
        <v>1407</v>
      </c>
    </row>
    <row r="16" spans="1:2">
      <c r="A16" s="39" t="s">
        <v>147</v>
      </c>
      <c r="B16" s="61" t="s">
        <v>1407</v>
      </c>
    </row>
    <row r="17" spans="1:2">
      <c r="A17" s="41" t="s">
        <v>152</v>
      </c>
      <c r="B17" s="61" t="s">
        <v>1407</v>
      </c>
    </row>
    <row r="18" spans="1:2">
      <c r="A18" s="39" t="s">
        <v>160</v>
      </c>
      <c r="B18" s="61" t="s">
        <v>161</v>
      </c>
    </row>
    <row r="19" spans="1:2">
      <c r="A19" s="33" t="s">
        <v>166</v>
      </c>
      <c r="B19" s="61" t="s">
        <v>1408</v>
      </c>
    </row>
    <row r="20" spans="1:2">
      <c r="A20" s="33" t="s">
        <v>175</v>
      </c>
      <c r="B20" s="61" t="s">
        <v>1408</v>
      </c>
    </row>
    <row r="21" spans="1:2">
      <c r="A21" s="33" t="s">
        <v>180</v>
      </c>
      <c r="B21" s="61" t="s">
        <v>1408</v>
      </c>
    </row>
    <row r="22" spans="1:2">
      <c r="A22" s="39" t="s">
        <v>186</v>
      </c>
      <c r="B22" s="61" t="s">
        <v>1408</v>
      </c>
    </row>
    <row r="23" spans="1:2">
      <c r="A23" s="39" t="s">
        <v>192</v>
      </c>
      <c r="B23" s="61" t="s">
        <v>1408</v>
      </c>
    </row>
    <row r="24" spans="1:2">
      <c r="A24" s="39" t="s">
        <v>198</v>
      </c>
      <c r="B24" s="61" t="s">
        <v>1408</v>
      </c>
    </row>
    <row r="25" spans="1:2">
      <c r="A25" s="39" t="s">
        <v>204</v>
      </c>
      <c r="B25" s="61" t="s">
        <v>205</v>
      </c>
    </row>
    <row r="26" spans="1:2">
      <c r="A26" s="41" t="s">
        <v>211</v>
      </c>
      <c r="B26" s="61" t="s">
        <v>212</v>
      </c>
    </row>
    <row r="27" spans="1:2">
      <c r="A27" s="39" t="s">
        <v>217</v>
      </c>
      <c r="B27" s="61" t="s">
        <v>212</v>
      </c>
    </row>
    <row r="28" spans="1:2">
      <c r="A28" s="39" t="s">
        <v>221</v>
      </c>
      <c r="B28" s="61" t="s">
        <v>212</v>
      </c>
    </row>
    <row r="29" spans="1:2">
      <c r="A29" s="41" t="s">
        <v>225</v>
      </c>
      <c r="B29" s="61" t="s">
        <v>226</v>
      </c>
    </row>
    <row r="30" spans="1:2">
      <c r="A30" s="39" t="s">
        <v>231</v>
      </c>
      <c r="B30" s="61" t="s">
        <v>226</v>
      </c>
    </row>
    <row r="31" spans="1:2">
      <c r="A31" s="39" t="s">
        <v>234</v>
      </c>
      <c r="B31" s="61" t="s">
        <v>226</v>
      </c>
    </row>
    <row r="32" spans="1:2">
      <c r="A32" s="41" t="s">
        <v>238</v>
      </c>
      <c r="B32" s="61" t="s">
        <v>1411</v>
      </c>
    </row>
    <row r="33" spans="1:2">
      <c r="A33" s="41" t="s">
        <v>246</v>
      </c>
      <c r="B33" s="61" t="s">
        <v>247</v>
      </c>
    </row>
    <row r="34" spans="1:2">
      <c r="A34" s="41" t="s">
        <v>254</v>
      </c>
      <c r="B34" s="61" t="s">
        <v>247</v>
      </c>
    </row>
    <row r="35" spans="1:2">
      <c r="A35" s="39" t="s">
        <v>261</v>
      </c>
      <c r="B35" s="61" t="s">
        <v>262</v>
      </c>
    </row>
    <row r="36" spans="1:2">
      <c r="A36" s="39" t="s">
        <v>268</v>
      </c>
      <c r="B36" s="61" t="s">
        <v>262</v>
      </c>
    </row>
    <row r="37" spans="1:2">
      <c r="A37" s="39" t="s">
        <v>272</v>
      </c>
      <c r="B37" s="61" t="s">
        <v>262</v>
      </c>
    </row>
    <row r="38" spans="1:2">
      <c r="A38" s="41" t="s">
        <v>276</v>
      </c>
      <c r="B38" s="61" t="s">
        <v>277</v>
      </c>
    </row>
    <row r="39" spans="1:2">
      <c r="A39" s="41" t="s">
        <v>283</v>
      </c>
      <c r="B39" s="61" t="s">
        <v>1414</v>
      </c>
    </row>
    <row r="40" spans="1:2">
      <c r="A40" s="41" t="s">
        <v>290</v>
      </c>
      <c r="B40" s="61" t="s">
        <v>1414</v>
      </c>
    </row>
    <row r="41" spans="1:2">
      <c r="A41" s="41" t="s">
        <v>295</v>
      </c>
      <c r="B41" s="61" t="s">
        <v>303</v>
      </c>
    </row>
    <row r="42" spans="1:2">
      <c r="A42" s="41" t="s">
        <v>302</v>
      </c>
      <c r="B42" s="61" t="s">
        <v>303</v>
      </c>
    </row>
    <row r="43" spans="1:2">
      <c r="A43" s="41" t="s">
        <v>307</v>
      </c>
      <c r="B43" s="61" t="s">
        <v>308</v>
      </c>
    </row>
    <row r="44" spans="1:2">
      <c r="A44" s="41" t="s">
        <v>314</v>
      </c>
      <c r="B44" s="61" t="s">
        <v>1416</v>
      </c>
    </row>
    <row r="45" spans="1:2">
      <c r="A45" s="41" t="s">
        <v>320</v>
      </c>
      <c r="B45" s="61" t="s">
        <v>321</v>
      </c>
    </row>
    <row r="46" spans="1:2">
      <c r="A46" s="41" t="s">
        <v>326</v>
      </c>
      <c r="B46" s="61" t="s">
        <v>1418</v>
      </c>
    </row>
    <row r="47" spans="1:2">
      <c r="A47" s="41" t="s">
        <v>331</v>
      </c>
      <c r="B47" s="61" t="s">
        <v>1418</v>
      </c>
    </row>
    <row r="48" spans="1:2">
      <c r="A48" s="27" t="s">
        <v>335</v>
      </c>
      <c r="B48" s="61" t="s">
        <v>336</v>
      </c>
    </row>
    <row r="49" spans="1:2">
      <c r="A49" s="27" t="s">
        <v>342</v>
      </c>
      <c r="B49" s="61" t="s">
        <v>336</v>
      </c>
    </row>
    <row r="50" spans="1:2">
      <c r="A50" s="27" t="s">
        <v>348</v>
      </c>
      <c r="B50" s="61" t="s">
        <v>349</v>
      </c>
    </row>
    <row r="51" spans="1:2">
      <c r="A51" s="41" t="s">
        <v>355</v>
      </c>
      <c r="B51" s="61" t="s">
        <v>1420</v>
      </c>
    </row>
    <row r="52" spans="1:2">
      <c r="A52" s="41" t="s">
        <v>361</v>
      </c>
      <c r="B52" s="61" t="s">
        <v>362</v>
      </c>
    </row>
    <row r="53" spans="1:2">
      <c r="A53" s="41" t="s">
        <v>366</v>
      </c>
      <c r="B53" s="61" t="s">
        <v>367</v>
      </c>
    </row>
    <row r="54" spans="1:2">
      <c r="A54" s="41" t="s">
        <v>372</v>
      </c>
      <c r="B54" s="61" t="s">
        <v>373</v>
      </c>
    </row>
    <row r="55" spans="1:2">
      <c r="A55" s="41" t="s">
        <v>379</v>
      </c>
      <c r="B55" s="61" t="s">
        <v>380</v>
      </c>
    </row>
    <row r="56" spans="1:2">
      <c r="A56" s="41" t="s">
        <v>384</v>
      </c>
      <c r="B56" s="61" t="s">
        <v>1422</v>
      </c>
    </row>
    <row r="57" spans="1:2">
      <c r="A57" s="41" t="s">
        <v>390</v>
      </c>
      <c r="B57" s="61" t="s">
        <v>391</v>
      </c>
    </row>
    <row r="58" spans="1:2">
      <c r="A58" s="41" t="s">
        <v>396</v>
      </c>
      <c r="B58" s="61" t="s">
        <v>397</v>
      </c>
    </row>
    <row r="59" spans="1:2">
      <c r="A59" s="41" t="s">
        <v>403</v>
      </c>
      <c r="B59" s="61" t="s">
        <v>404</v>
      </c>
    </row>
    <row r="60" spans="1:2">
      <c r="A60" s="41" t="s">
        <v>411</v>
      </c>
      <c r="B60" s="61" t="s">
        <v>412</v>
      </c>
    </row>
    <row r="61" spans="1:2">
      <c r="A61" s="41" t="s">
        <v>417</v>
      </c>
      <c r="B61" s="61" t="s">
        <v>412</v>
      </c>
    </row>
    <row r="62" spans="1:2">
      <c r="A62" s="27" t="s">
        <v>422</v>
      </c>
      <c r="B62" s="61" t="s">
        <v>423</v>
      </c>
    </row>
    <row r="63" spans="1:2">
      <c r="A63" s="27" t="s">
        <v>429</v>
      </c>
      <c r="B63" s="61" t="s">
        <v>423</v>
      </c>
    </row>
    <row r="64" spans="1:2">
      <c r="A64" s="33" t="s">
        <v>435</v>
      </c>
      <c r="B64" s="61" t="s">
        <v>1425</v>
      </c>
    </row>
    <row r="65" spans="1:2">
      <c r="A65" s="33" t="s">
        <v>446</v>
      </c>
      <c r="B65" s="61" t="s">
        <v>1425</v>
      </c>
    </row>
    <row r="66" spans="1:2">
      <c r="A66" s="33" t="s">
        <v>452</v>
      </c>
      <c r="B66" s="61" t="s">
        <v>1425</v>
      </c>
    </row>
    <row r="67" spans="1:2">
      <c r="A67" s="33" t="s">
        <v>457</v>
      </c>
      <c r="B67" s="61" t="s">
        <v>1425</v>
      </c>
    </row>
    <row r="68" spans="1:2">
      <c r="A68" s="33" t="s">
        <v>463</v>
      </c>
      <c r="B68" s="61" t="s">
        <v>1425</v>
      </c>
    </row>
    <row r="69" spans="1:2">
      <c r="A69" s="33" t="s">
        <v>469</v>
      </c>
      <c r="B69" s="61" t="s">
        <v>1425</v>
      </c>
    </row>
    <row r="70" spans="1:2">
      <c r="A70" s="41" t="s">
        <v>475</v>
      </c>
      <c r="B70" s="61" t="s">
        <v>476</v>
      </c>
    </row>
    <row r="71" spans="1:2">
      <c r="A71" s="41" t="s">
        <v>484</v>
      </c>
      <c r="B71" s="61" t="s">
        <v>485</v>
      </c>
    </row>
    <row r="72" spans="1:2">
      <c r="A72" s="41" t="s">
        <v>490</v>
      </c>
      <c r="B72" s="61" t="s">
        <v>491</v>
      </c>
    </row>
    <row r="73" spans="1:2">
      <c r="A73" s="27" t="s">
        <v>497</v>
      </c>
      <c r="B73" s="61" t="s">
        <v>498</v>
      </c>
    </row>
    <row r="74" spans="1:2">
      <c r="A74" s="27" t="s">
        <v>507</v>
      </c>
      <c r="B74" s="61" t="s">
        <v>498</v>
      </c>
    </row>
    <row r="75" spans="1:2">
      <c r="A75" s="41" t="s">
        <v>512</v>
      </c>
      <c r="B75" s="61" t="s">
        <v>513</v>
      </c>
    </row>
    <row r="76" spans="1:2">
      <c r="A76" s="41" t="s">
        <v>519</v>
      </c>
      <c r="B76" s="61" t="s">
        <v>513</v>
      </c>
    </row>
    <row r="77" spans="1:2">
      <c r="A77" s="41" t="s">
        <v>525</v>
      </c>
      <c r="B77" s="61" t="s">
        <v>526</v>
      </c>
    </row>
    <row r="78" spans="1:2">
      <c r="A78" s="41" t="s">
        <v>529</v>
      </c>
      <c r="B78" s="61" t="s">
        <v>526</v>
      </c>
    </row>
    <row r="79" spans="1:2">
      <c r="A79" s="39" t="s">
        <v>715</v>
      </c>
      <c r="B79" s="27" t="s">
        <v>716</v>
      </c>
    </row>
    <row r="80" spans="1:2">
      <c r="A80" s="41" t="s">
        <v>721</v>
      </c>
      <c r="B80" s="61" t="s">
        <v>722</v>
      </c>
    </row>
    <row r="81" spans="1:2">
      <c r="A81" s="39" t="s">
        <v>726</v>
      </c>
      <c r="B81" s="61" t="s">
        <v>727</v>
      </c>
    </row>
    <row r="82" spans="1:2">
      <c r="A82" s="41" t="s">
        <v>733</v>
      </c>
      <c r="B82" s="61" t="s">
        <v>727</v>
      </c>
    </row>
    <row r="83" spans="1:2">
      <c r="A83" s="41" t="s">
        <v>740</v>
      </c>
      <c r="B83" s="61" t="s">
        <v>727</v>
      </c>
    </row>
    <row r="84" spans="1:2">
      <c r="A84" s="33" t="s">
        <v>747</v>
      </c>
      <c r="B84" s="61" t="s">
        <v>727</v>
      </c>
    </row>
    <row r="85" spans="1:2">
      <c r="A85" s="33" t="s">
        <v>756</v>
      </c>
      <c r="B85" s="61" t="s">
        <v>727</v>
      </c>
    </row>
    <row r="86" spans="1:2">
      <c r="A86" s="39" t="s">
        <v>763</v>
      </c>
      <c r="B86" s="61" t="s">
        <v>764</v>
      </c>
    </row>
    <row r="87" spans="1:2">
      <c r="A87" s="41" t="s">
        <v>769</v>
      </c>
      <c r="B87" s="61" t="s">
        <v>764</v>
      </c>
    </row>
    <row r="88" spans="1:2">
      <c r="A88" s="41" t="s">
        <v>774</v>
      </c>
      <c r="B88" s="61" t="s">
        <v>764</v>
      </c>
    </row>
    <row r="89" spans="1:2">
      <c r="A89" s="33" t="s">
        <v>694</v>
      </c>
      <c r="B89" s="61" t="s">
        <v>1436</v>
      </c>
    </row>
    <row r="90" spans="1:2">
      <c r="A90" s="27" t="s">
        <v>534</v>
      </c>
      <c r="B90" s="61" t="s">
        <v>535</v>
      </c>
    </row>
    <row r="91" spans="1:2">
      <c r="A91" s="27" t="s">
        <v>541</v>
      </c>
      <c r="B91" s="61" t="s">
        <v>535</v>
      </c>
    </row>
    <row r="92" spans="1:2">
      <c r="A92" s="41" t="s">
        <v>546</v>
      </c>
      <c r="B92" s="61" t="s">
        <v>535</v>
      </c>
    </row>
    <row r="93" spans="1:2">
      <c r="A93" s="41" t="s">
        <v>555</v>
      </c>
      <c r="B93" s="61" t="s">
        <v>535</v>
      </c>
    </row>
    <row r="94" spans="1:2">
      <c r="A94" s="41" t="s">
        <v>560</v>
      </c>
      <c r="B94" s="61" t="s">
        <v>535</v>
      </c>
    </row>
    <row r="95" spans="1:2">
      <c r="A95" s="27" t="s">
        <v>567</v>
      </c>
      <c r="B95" s="61" t="s">
        <v>535</v>
      </c>
    </row>
    <row r="96" spans="1:2">
      <c r="A96" s="41" t="s">
        <v>573</v>
      </c>
      <c r="B96" s="61" t="s">
        <v>1431</v>
      </c>
    </row>
    <row r="97" spans="1:2">
      <c r="A97" s="41" t="s">
        <v>578</v>
      </c>
      <c r="B97" s="61" t="s">
        <v>579</v>
      </c>
    </row>
    <row r="98" spans="1:2">
      <c r="A98" s="27" t="s">
        <v>585</v>
      </c>
      <c r="B98" s="61" t="s">
        <v>586</v>
      </c>
    </row>
    <row r="99" spans="1:2">
      <c r="A99" s="27" t="s">
        <v>591</v>
      </c>
      <c r="B99" s="61" t="s">
        <v>586</v>
      </c>
    </row>
    <row r="100" spans="1:2">
      <c r="A100" s="41" t="s">
        <v>595</v>
      </c>
      <c r="B100" s="61" t="s">
        <v>586</v>
      </c>
    </row>
    <row r="101" spans="1:2">
      <c r="A101" s="41" t="s">
        <v>599</v>
      </c>
      <c r="B101" s="61" t="s">
        <v>586</v>
      </c>
    </row>
    <row r="102" spans="1:2">
      <c r="A102" s="41" t="s">
        <v>602</v>
      </c>
      <c r="B102" s="61" t="s">
        <v>586</v>
      </c>
    </row>
    <row r="103" spans="1:2">
      <c r="A103" s="27" t="s">
        <v>608</v>
      </c>
      <c r="B103" s="61" t="s">
        <v>586</v>
      </c>
    </row>
    <row r="104" spans="1:2">
      <c r="A104" s="27" t="s">
        <v>613</v>
      </c>
      <c r="B104" s="61" t="s">
        <v>614</v>
      </c>
    </row>
    <row r="105" spans="1:2">
      <c r="A105" s="41" t="s">
        <v>621</v>
      </c>
      <c r="B105" s="61" t="s">
        <v>622</v>
      </c>
    </row>
    <row r="106" spans="1:2">
      <c r="A106" s="41" t="s">
        <v>628</v>
      </c>
      <c r="B106" s="61" t="s">
        <v>622</v>
      </c>
    </row>
    <row r="107" spans="1:2">
      <c r="A107" s="41" t="s">
        <v>634</v>
      </c>
      <c r="B107" s="61" t="s">
        <v>635</v>
      </c>
    </row>
    <row r="108" spans="1:2">
      <c r="A108" s="41" t="s">
        <v>642</v>
      </c>
      <c r="B108" s="61" t="s">
        <v>643</v>
      </c>
    </row>
    <row r="109" spans="1:2">
      <c r="A109" s="41" t="s">
        <v>1273</v>
      </c>
      <c r="B109" s="61" t="s">
        <v>1469</v>
      </c>
    </row>
    <row r="110" spans="1:2">
      <c r="A110" s="27" t="s">
        <v>1280</v>
      </c>
      <c r="B110" s="61" t="s">
        <v>1281</v>
      </c>
    </row>
    <row r="111" spans="1:2">
      <c r="A111" s="27" t="s">
        <v>1285</v>
      </c>
      <c r="B111" s="27" t="s">
        <v>1286</v>
      </c>
    </row>
    <row r="112" spans="1:2">
      <c r="A112" s="41" t="s">
        <v>649</v>
      </c>
      <c r="B112" s="61" t="s">
        <v>650</v>
      </c>
    </row>
    <row r="113" spans="1:2">
      <c r="A113" s="41" t="s">
        <v>656</v>
      </c>
      <c r="B113" s="61" t="s">
        <v>650</v>
      </c>
    </row>
    <row r="114" spans="1:2">
      <c r="A114" s="41" t="s">
        <v>661</v>
      </c>
      <c r="B114" s="61" t="s">
        <v>1433</v>
      </c>
    </row>
    <row r="115" spans="1:2">
      <c r="A115" s="41" t="s">
        <v>669</v>
      </c>
      <c r="B115" s="61" t="s">
        <v>1434</v>
      </c>
    </row>
    <row r="116" spans="1:2">
      <c r="A116" s="41" t="s">
        <v>677</v>
      </c>
      <c r="B116" s="61" t="s">
        <v>678</v>
      </c>
    </row>
    <row r="117" spans="1:2">
      <c r="A117" s="41" t="s">
        <v>687</v>
      </c>
      <c r="B117" s="61" t="s">
        <v>688</v>
      </c>
    </row>
    <row r="118" spans="1:2">
      <c r="A118" s="41" t="s">
        <v>882</v>
      </c>
      <c r="B118" s="61" t="s">
        <v>883</v>
      </c>
    </row>
    <row r="119" spans="1:2">
      <c r="A119" s="41" t="s">
        <v>888</v>
      </c>
      <c r="B119" s="61" t="s">
        <v>889</v>
      </c>
    </row>
    <row r="120" spans="1:2">
      <c r="A120" s="41" t="s">
        <v>894</v>
      </c>
      <c r="B120" s="61" t="s">
        <v>895</v>
      </c>
    </row>
    <row r="121" spans="1:2">
      <c r="A121" s="41" t="s">
        <v>899</v>
      </c>
      <c r="B121" s="61" t="s">
        <v>900</v>
      </c>
    </row>
    <row r="122" spans="1:2">
      <c r="A122" s="41" t="s">
        <v>1143</v>
      </c>
      <c r="B122" s="61" t="s">
        <v>1144</v>
      </c>
    </row>
    <row r="123" spans="1:2">
      <c r="A123" s="41" t="s">
        <v>1148</v>
      </c>
      <c r="B123" s="61" t="s">
        <v>1149</v>
      </c>
    </row>
    <row r="124" spans="1:2">
      <c r="A124" s="41" t="s">
        <v>1153</v>
      </c>
      <c r="B124" s="61" t="s">
        <v>1154</v>
      </c>
    </row>
    <row r="125" spans="1:2">
      <c r="A125" s="27" t="s">
        <v>1158</v>
      </c>
      <c r="B125" s="61" t="s">
        <v>1154</v>
      </c>
    </row>
    <row r="126" spans="1:2">
      <c r="A126" s="41" t="s">
        <v>868</v>
      </c>
      <c r="B126" s="61" t="s">
        <v>869</v>
      </c>
    </row>
    <row r="127" spans="1:2">
      <c r="A127" s="41" t="s">
        <v>876</v>
      </c>
      <c r="B127" s="61" t="s">
        <v>869</v>
      </c>
    </row>
    <row r="128" spans="1:2">
      <c r="A128" s="41" t="s">
        <v>915</v>
      </c>
      <c r="B128" s="61" t="s">
        <v>916</v>
      </c>
    </row>
    <row r="129" spans="1:2">
      <c r="A129" s="41" t="s">
        <v>922</v>
      </c>
      <c r="B129" s="61" t="s">
        <v>916</v>
      </c>
    </row>
    <row r="130" spans="1:2">
      <c r="A130" s="41" t="s">
        <v>929</v>
      </c>
      <c r="B130" s="61" t="s">
        <v>916</v>
      </c>
    </row>
    <row r="131" spans="1:2">
      <c r="A131" s="33" t="s">
        <v>935</v>
      </c>
      <c r="B131" s="61" t="s">
        <v>936</v>
      </c>
    </row>
    <row r="132" spans="1:2">
      <c r="A132" s="33" t="s">
        <v>942</v>
      </c>
      <c r="B132" s="61" t="s">
        <v>936</v>
      </c>
    </row>
    <row r="133" spans="1:2">
      <c r="A133" s="33" t="s">
        <v>950</v>
      </c>
      <c r="B133" s="61" t="s">
        <v>936</v>
      </c>
    </row>
    <row r="134" spans="1:2">
      <c r="A134" s="41" t="s">
        <v>954</v>
      </c>
      <c r="B134" s="61" t="s">
        <v>936</v>
      </c>
    </row>
    <row r="135" spans="1:2">
      <c r="A135" s="41" t="s">
        <v>960</v>
      </c>
      <c r="B135" s="61" t="s">
        <v>936</v>
      </c>
    </row>
    <row r="136" spans="1:2">
      <c r="A136" s="41" t="s">
        <v>966</v>
      </c>
      <c r="B136" s="61" t="s">
        <v>936</v>
      </c>
    </row>
    <row r="137" spans="1:2">
      <c r="A137" s="41" t="s">
        <v>972</v>
      </c>
      <c r="B137" s="61" t="s">
        <v>936</v>
      </c>
    </row>
    <row r="138" spans="1:2">
      <c r="A138" s="33" t="s">
        <v>976</v>
      </c>
      <c r="B138" s="61" t="s">
        <v>1449</v>
      </c>
    </row>
    <row r="139" spans="1:2">
      <c r="A139" s="33" t="s">
        <v>984</v>
      </c>
      <c r="B139" s="61" t="s">
        <v>1449</v>
      </c>
    </row>
    <row r="140" spans="1:2">
      <c r="A140" s="33" t="s">
        <v>989</v>
      </c>
      <c r="B140" s="61" t="s">
        <v>1449</v>
      </c>
    </row>
    <row r="141" spans="1:2">
      <c r="A141" s="33" t="s">
        <v>994</v>
      </c>
      <c r="B141" s="61" t="s">
        <v>1449</v>
      </c>
    </row>
    <row r="142" spans="1:2">
      <c r="A142" s="33" t="s">
        <v>999</v>
      </c>
      <c r="B142" s="61" t="s">
        <v>1449</v>
      </c>
    </row>
    <row r="143" spans="1:2">
      <c r="A143" s="33" t="s">
        <v>1004</v>
      </c>
      <c r="B143" s="61" t="s">
        <v>1449</v>
      </c>
    </row>
    <row r="144" spans="1:2">
      <c r="A144" s="33" t="s">
        <v>1009</v>
      </c>
      <c r="B144" s="61" t="s">
        <v>1449</v>
      </c>
    </row>
    <row r="145" spans="1:2">
      <c r="A145" s="41" t="s">
        <v>1014</v>
      </c>
      <c r="B145" s="61" t="s">
        <v>1453</v>
      </c>
    </row>
    <row r="146" spans="1:2">
      <c r="A146" s="41" t="s">
        <v>1021</v>
      </c>
      <c r="B146" s="61" t="s">
        <v>1453</v>
      </c>
    </row>
    <row r="147" spans="1:2">
      <c r="A147" s="41" t="s">
        <v>1028</v>
      </c>
      <c r="B147" s="61" t="s">
        <v>1453</v>
      </c>
    </row>
    <row r="148" spans="1:2">
      <c r="A148" s="41" t="s">
        <v>1032</v>
      </c>
      <c r="B148" s="61" t="s">
        <v>1453</v>
      </c>
    </row>
    <row r="149" spans="1:2">
      <c r="A149" s="41" t="s">
        <v>1037</v>
      </c>
      <c r="B149" s="61" t="s">
        <v>1454</v>
      </c>
    </row>
    <row r="150" spans="1:2">
      <c r="A150" s="41" t="s">
        <v>1043</v>
      </c>
      <c r="B150" s="61" t="s">
        <v>1456</v>
      </c>
    </row>
    <row r="151" spans="1:2">
      <c r="A151" s="41" t="s">
        <v>1049</v>
      </c>
      <c r="B151" s="61" t="s">
        <v>1050</v>
      </c>
    </row>
    <row r="152" spans="1:2">
      <c r="A152" s="41" t="s">
        <v>1055</v>
      </c>
      <c r="B152" s="61" t="s">
        <v>1457</v>
      </c>
    </row>
    <row r="153" spans="1:2">
      <c r="A153" s="41" t="s">
        <v>1061</v>
      </c>
      <c r="B153" s="61" t="s">
        <v>1062</v>
      </c>
    </row>
    <row r="154" spans="1:2">
      <c r="A154" s="41" t="s">
        <v>820</v>
      </c>
      <c r="B154" s="61" t="s">
        <v>1445</v>
      </c>
    </row>
    <row r="155" spans="1:2">
      <c r="A155" s="33" t="s">
        <v>827</v>
      </c>
      <c r="B155" s="61" t="s">
        <v>828</v>
      </c>
    </row>
    <row r="156" spans="1:2">
      <c r="A156" s="33" t="s">
        <v>833</v>
      </c>
      <c r="B156" s="61" t="s">
        <v>828</v>
      </c>
    </row>
    <row r="157" spans="1:2">
      <c r="A157" s="33" t="s">
        <v>837</v>
      </c>
      <c r="B157" s="61" t="s">
        <v>828</v>
      </c>
    </row>
    <row r="158" spans="1:2">
      <c r="A158" s="33" t="s">
        <v>841</v>
      </c>
      <c r="B158" s="61" t="s">
        <v>828</v>
      </c>
    </row>
    <row r="159" spans="1:2">
      <c r="A159" s="33" t="s">
        <v>845</v>
      </c>
      <c r="B159" s="61" t="s">
        <v>828</v>
      </c>
    </row>
    <row r="160" spans="1:2">
      <c r="A160" s="41" t="s">
        <v>850</v>
      </c>
      <c r="B160" s="61" t="s">
        <v>851</v>
      </c>
    </row>
    <row r="161" spans="1:2">
      <c r="A161" s="41" t="s">
        <v>854</v>
      </c>
      <c r="B161" s="61" t="s">
        <v>855</v>
      </c>
    </row>
    <row r="162" spans="1:2">
      <c r="A162" s="41" t="s">
        <v>859</v>
      </c>
      <c r="B162" s="61" t="s">
        <v>860</v>
      </c>
    </row>
    <row r="163" spans="1:2">
      <c r="A163" s="41" t="s">
        <v>863</v>
      </c>
      <c r="B163" s="61" t="s">
        <v>864</v>
      </c>
    </row>
    <row r="164" spans="1:2">
      <c r="A164" s="41" t="s">
        <v>1177</v>
      </c>
      <c r="B164" s="61" t="s">
        <v>1178</v>
      </c>
    </row>
    <row r="165" spans="1:2">
      <c r="A165" s="41" t="s">
        <v>1185</v>
      </c>
      <c r="B165" s="61" t="s">
        <v>1467</v>
      </c>
    </row>
    <row r="166" spans="1:2">
      <c r="A166" s="41" t="s">
        <v>1191</v>
      </c>
      <c r="B166" s="61" t="s">
        <v>1192</v>
      </c>
    </row>
    <row r="167" spans="1:2">
      <c r="A167" s="41" t="s">
        <v>1199</v>
      </c>
      <c r="B167" s="61" t="s">
        <v>1192</v>
      </c>
    </row>
    <row r="168" spans="1:2">
      <c r="A168" s="41" t="s">
        <v>1205</v>
      </c>
      <c r="B168" s="61" t="s">
        <v>1192</v>
      </c>
    </row>
    <row r="169" spans="1:2">
      <c r="A169" s="41" t="s">
        <v>1211</v>
      </c>
      <c r="B169" s="61" t="s">
        <v>1212</v>
      </c>
    </row>
    <row r="170" spans="1:2">
      <c r="A170" s="41" t="s">
        <v>778</v>
      </c>
      <c r="B170" s="61" t="s">
        <v>779</v>
      </c>
    </row>
    <row r="171" spans="1:2">
      <c r="A171" s="41" t="s">
        <v>786</v>
      </c>
      <c r="B171" s="61" t="s">
        <v>779</v>
      </c>
    </row>
    <row r="172" spans="1:2">
      <c r="A172" s="41" t="s">
        <v>789</v>
      </c>
      <c r="B172" s="61" t="s">
        <v>790</v>
      </c>
    </row>
    <row r="173" spans="1:2">
      <c r="A173" s="27" t="s">
        <v>795</v>
      </c>
      <c r="B173" s="61" t="s">
        <v>790</v>
      </c>
    </row>
    <row r="174" spans="1:2">
      <c r="A174" s="41" t="s">
        <v>799</v>
      </c>
      <c r="B174" s="61" t="s">
        <v>800</v>
      </c>
    </row>
    <row r="175" spans="1:2">
      <c r="A175" s="33" t="s">
        <v>708</v>
      </c>
      <c r="B175" s="61" t="s">
        <v>1439</v>
      </c>
    </row>
    <row r="176" spans="1:2">
      <c r="A176" s="41" t="s">
        <v>805</v>
      </c>
      <c r="B176" s="61" t="s">
        <v>806</v>
      </c>
    </row>
    <row r="177" spans="1:2">
      <c r="A177" s="41" t="s">
        <v>810</v>
      </c>
      <c r="B177" s="61" t="s">
        <v>811</v>
      </c>
    </row>
    <row r="178" spans="1:2">
      <c r="A178" s="41" t="s">
        <v>815</v>
      </c>
      <c r="B178" s="61" t="s">
        <v>1444</v>
      </c>
    </row>
    <row r="179" spans="1:2">
      <c r="A179" s="33" t="s">
        <v>701</v>
      </c>
      <c r="B179" s="61" t="s">
        <v>1438</v>
      </c>
    </row>
    <row r="180" spans="1:2">
      <c r="A180" s="33" t="s">
        <v>1165</v>
      </c>
      <c r="B180" s="61" t="s">
        <v>1166</v>
      </c>
    </row>
    <row r="181" spans="1:2">
      <c r="A181" s="41" t="s">
        <v>1171</v>
      </c>
      <c r="B181" s="61" t="s">
        <v>1172</v>
      </c>
    </row>
    <row r="182" spans="1:2">
      <c r="A182" s="33" t="s">
        <v>1069</v>
      </c>
      <c r="B182" s="61" t="s">
        <v>1460</v>
      </c>
    </row>
    <row r="183" spans="1:2">
      <c r="A183" s="41" t="s">
        <v>1074</v>
      </c>
      <c r="B183" s="61" t="s">
        <v>1463</v>
      </c>
    </row>
    <row r="184" spans="1:2">
      <c r="A184" s="41" t="s">
        <v>1082</v>
      </c>
      <c r="B184" s="61" t="s">
        <v>1463</v>
      </c>
    </row>
    <row r="185" spans="1:2">
      <c r="A185" s="41" t="s">
        <v>1086</v>
      </c>
      <c r="B185" s="61" t="s">
        <v>1464</v>
      </c>
    </row>
    <row r="186" spans="1:2">
      <c r="A186" s="41" t="s">
        <v>1093</v>
      </c>
      <c r="B186" s="61" t="s">
        <v>1094</v>
      </c>
    </row>
    <row r="187" spans="1:2">
      <c r="A187" s="41" t="s">
        <v>1218</v>
      </c>
      <c r="B187" s="61" t="s">
        <v>1219</v>
      </c>
    </row>
    <row r="188" spans="1:2">
      <c r="A188" s="41" t="s">
        <v>1225</v>
      </c>
      <c r="B188" s="61" t="s">
        <v>1468</v>
      </c>
    </row>
    <row r="189" spans="1:2">
      <c r="A189" s="41" t="s">
        <v>1231</v>
      </c>
      <c r="B189" s="61" t="s">
        <v>1468</v>
      </c>
    </row>
    <row r="190" spans="1:2">
      <c r="A190" s="41" t="s">
        <v>1235</v>
      </c>
      <c r="B190" s="61" t="s">
        <v>1468</v>
      </c>
    </row>
    <row r="191" spans="1:2">
      <c r="A191" s="41" t="s">
        <v>1239</v>
      </c>
      <c r="B191" s="61" t="s">
        <v>1240</v>
      </c>
    </row>
    <row r="192" spans="1:2">
      <c r="A192" s="41" t="s">
        <v>1244</v>
      </c>
      <c r="B192" s="61" t="s">
        <v>1240</v>
      </c>
    </row>
    <row r="193" spans="1:2">
      <c r="A193" s="27" t="s">
        <v>1249</v>
      </c>
      <c r="B193" s="61" t="s">
        <v>1250</v>
      </c>
    </row>
    <row r="194" spans="1:2">
      <c r="A194" s="41" t="s">
        <v>1256</v>
      </c>
      <c r="B194" s="61" t="s">
        <v>1257</v>
      </c>
    </row>
    <row r="195" spans="1:2">
      <c r="A195" s="41" t="s">
        <v>1263</v>
      </c>
      <c r="B195" s="61" t="s">
        <v>1264</v>
      </c>
    </row>
    <row r="196" spans="1:2">
      <c r="A196" s="41" t="s">
        <v>1268</v>
      </c>
      <c r="B196" s="61" t="s">
        <v>1269</v>
      </c>
    </row>
    <row r="197" spans="1:2">
      <c r="A197" s="41" t="s">
        <v>1291</v>
      </c>
      <c r="B197" s="61" t="s">
        <v>1292</v>
      </c>
    </row>
    <row r="198" spans="1:2">
      <c r="A198" s="41" t="s">
        <v>1297</v>
      </c>
      <c r="B198" s="61" t="s">
        <v>1292</v>
      </c>
    </row>
    <row r="199" spans="1:2">
      <c r="A199" s="41" t="s">
        <v>1301</v>
      </c>
      <c r="B199" s="61" t="s">
        <v>1302</v>
      </c>
    </row>
    <row r="200" spans="1:2">
      <c r="A200" s="41" t="s">
        <v>1307</v>
      </c>
      <c r="B200" s="61" t="s">
        <v>1302</v>
      </c>
    </row>
    <row r="201" spans="1:2">
      <c r="A201" s="41" t="s">
        <v>1310</v>
      </c>
      <c r="B201" s="61" t="s">
        <v>1302</v>
      </c>
    </row>
    <row r="202" spans="1:2">
      <c r="A202" s="41" t="s">
        <v>904</v>
      </c>
      <c r="B202" s="61" t="s">
        <v>1446</v>
      </c>
    </row>
    <row r="203" spans="1:2">
      <c r="A203" s="41" t="s">
        <v>909</v>
      </c>
      <c r="B203" s="61" t="s">
        <v>1447</v>
      </c>
    </row>
    <row r="204" spans="1:2">
      <c r="A204" s="41" t="s">
        <v>1314</v>
      </c>
      <c r="B204" s="61" t="s">
        <v>1315</v>
      </c>
    </row>
    <row r="205" spans="1:2">
      <c r="A205" s="27" t="s">
        <v>1101</v>
      </c>
      <c r="B205" s="61" t="s">
        <v>1109</v>
      </c>
    </row>
    <row r="206" spans="1:2">
      <c r="A206" s="33" t="s">
        <v>1108</v>
      </c>
      <c r="B206" s="61" t="s">
        <v>1109</v>
      </c>
    </row>
    <row r="207" spans="1:2">
      <c r="A207" s="33" t="s">
        <v>1116</v>
      </c>
      <c r="B207" s="61" t="s">
        <v>1109</v>
      </c>
    </row>
    <row r="208" spans="1:2">
      <c r="A208" s="33" t="s">
        <v>1120</v>
      </c>
      <c r="B208" s="61" t="s">
        <v>1109</v>
      </c>
    </row>
    <row r="209" spans="1:2">
      <c r="A209" s="27" t="s">
        <v>1126</v>
      </c>
      <c r="B209" s="61" t="s">
        <v>1135</v>
      </c>
    </row>
    <row r="210" spans="1:2">
      <c r="A210" s="41" t="s">
        <v>1134</v>
      </c>
      <c r="B210" s="61" t="s">
        <v>1135</v>
      </c>
    </row>
    <row r="211" spans="1:2">
      <c r="A211" s="33" t="s">
        <v>1321</v>
      </c>
      <c r="B211" s="61" t="s">
        <v>1471</v>
      </c>
    </row>
    <row r="212" spans="1:2">
      <c r="A212" s="33" t="s">
        <v>1328</v>
      </c>
      <c r="B212" s="61" t="s">
        <v>1471</v>
      </c>
    </row>
    <row r="213" spans="1:2">
      <c r="A213" s="33" t="s">
        <v>1333</v>
      </c>
      <c r="B213" s="61" t="s">
        <v>1471</v>
      </c>
    </row>
    <row r="214" spans="1:2">
      <c r="A214" s="41" t="s">
        <v>1337</v>
      </c>
      <c r="B214" s="61" t="s">
        <v>1472</v>
      </c>
    </row>
    <row r="215" spans="1:2">
      <c r="A215" s="41" t="s">
        <v>1345</v>
      </c>
      <c r="B215" s="61" t="s">
        <v>1473</v>
      </c>
    </row>
    <row r="216" spans="1:2">
      <c r="A216" s="33" t="s">
        <v>1353</v>
      </c>
      <c r="B216" s="61" t="s">
        <v>1474</v>
      </c>
    </row>
    <row r="217" spans="1:2">
      <c r="A217" s="41" t="s">
        <v>1361</v>
      </c>
      <c r="B217" s="61" t="s">
        <v>1475</v>
      </c>
    </row>
    <row r="218" spans="1:2">
      <c r="A218" s="41" t="s">
        <v>1367</v>
      </c>
      <c r="B218" s="61" t="s">
        <v>1368</v>
      </c>
    </row>
    <row r="219" spans="1:2">
      <c r="A219" s="41" t="s">
        <v>1373</v>
      </c>
      <c r="B219" s="61" t="s">
        <v>1374</v>
      </c>
    </row>
    <row r="220" spans="1:2">
      <c r="A220" s="41" t="s">
        <v>1379</v>
      </c>
      <c r="B220" s="61" t="s">
        <v>1380</v>
      </c>
    </row>
  </sheetData>
  <autoFilter xmlns:etc="http://www.wps.cn/officeDocument/2017/etCustomData" ref="A1:A22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workbookViewId="0">
      <selection activeCell="C18" sqref="C18"/>
    </sheetView>
  </sheetViews>
  <sheetFormatPr defaultColWidth="8.69090909090909" defaultRowHeight="14" outlineLevelCol="1"/>
  <cols>
    <col min="1" max="1" width="28.5363636363636" customWidth="1"/>
    <col min="2" max="2" width="25.0727272727273" customWidth="1"/>
  </cols>
  <sheetData>
    <row r="1" spans="1:2">
      <c r="A1" t="s">
        <v>2</v>
      </c>
      <c r="B1" s="26" t="s">
        <v>2172</v>
      </c>
    </row>
    <row r="2" spans="1:2">
      <c r="A2" t="s">
        <v>536</v>
      </c>
      <c r="B2" s="27" t="s">
        <v>54</v>
      </c>
    </row>
    <row r="3" spans="1:2">
      <c r="A3" t="s">
        <v>297</v>
      </c>
      <c r="B3" s="27" t="s">
        <v>66</v>
      </c>
    </row>
    <row r="4" spans="1:2">
      <c r="A4" t="s">
        <v>168</v>
      </c>
      <c r="B4" s="27" t="s">
        <v>76</v>
      </c>
    </row>
    <row r="5" spans="1:2">
      <c r="A5" t="s">
        <v>1450</v>
      </c>
      <c r="B5" s="27" t="s">
        <v>114</v>
      </c>
    </row>
    <row r="6" spans="1:2">
      <c r="A6" t="s">
        <v>917</v>
      </c>
      <c r="B6" s="27" t="s">
        <v>104</v>
      </c>
    </row>
    <row r="7" spans="1:2">
      <c r="A7" t="s">
        <v>437</v>
      </c>
      <c r="B7" s="27" t="s">
        <v>154</v>
      </c>
    </row>
    <row r="8" spans="1:2">
      <c r="A8" t="s">
        <v>32</v>
      </c>
      <c r="B8" s="27" t="s">
        <v>127</v>
      </c>
    </row>
    <row r="9" spans="1:2">
      <c r="A9" t="s">
        <v>791</v>
      </c>
      <c r="B9" s="27" t="s">
        <v>168</v>
      </c>
    </row>
    <row r="10" spans="1:2">
      <c r="A10" t="s">
        <v>829</v>
      </c>
      <c r="B10" s="27" t="s">
        <v>1409</v>
      </c>
    </row>
    <row r="11" spans="1:2">
      <c r="A11" t="s">
        <v>822</v>
      </c>
      <c r="B11" s="27" t="s">
        <v>255</v>
      </c>
    </row>
    <row r="12" spans="1:2">
      <c r="A12" t="s">
        <v>499</v>
      </c>
      <c r="B12" s="27" t="s">
        <v>248</v>
      </c>
    </row>
    <row r="13" spans="1:2">
      <c r="A13" t="s">
        <v>127</v>
      </c>
      <c r="B13" s="27" t="s">
        <v>263</v>
      </c>
    </row>
    <row r="14" spans="1:2">
      <c r="A14" t="s">
        <v>1226</v>
      </c>
      <c r="B14" s="27" t="s">
        <v>278</v>
      </c>
    </row>
    <row r="15" spans="1:2">
      <c r="A15" t="s">
        <v>76</v>
      </c>
      <c r="B15" s="27" t="s">
        <v>285</v>
      </c>
    </row>
    <row r="16" spans="1:2">
      <c r="A16" t="s">
        <v>796</v>
      </c>
      <c r="B16" s="27" t="s">
        <v>297</v>
      </c>
    </row>
    <row r="17" spans="1:2">
      <c r="A17" t="s">
        <v>734</v>
      </c>
      <c r="B17" s="27" t="s">
        <v>240</v>
      </c>
    </row>
    <row r="18" spans="1:2">
      <c r="A18" t="s">
        <v>263</v>
      </c>
      <c r="B18" s="27" t="s">
        <v>337</v>
      </c>
    </row>
    <row r="19" spans="1:2">
      <c r="A19" t="s">
        <v>1303</v>
      </c>
      <c r="B19" s="27" t="s">
        <v>424</v>
      </c>
    </row>
    <row r="20" spans="1:2">
      <c r="A20" t="s">
        <v>943</v>
      </c>
      <c r="B20" s="27" t="s">
        <v>418</v>
      </c>
    </row>
    <row r="21" spans="1:2">
      <c r="A21" t="s">
        <v>1258</v>
      </c>
      <c r="B21" s="27" t="s">
        <v>309</v>
      </c>
    </row>
    <row r="22" spans="1:2">
      <c r="A22" t="s">
        <v>154</v>
      </c>
      <c r="B22" s="27" t="s">
        <v>350</v>
      </c>
    </row>
    <row r="23" spans="1:2">
      <c r="A23" t="s">
        <v>679</v>
      </c>
      <c r="B23" s="27" t="s">
        <v>405</v>
      </c>
    </row>
    <row r="24" spans="1:2">
      <c r="A24" t="s">
        <v>1323</v>
      </c>
      <c r="B24" s="27" t="s">
        <v>398</v>
      </c>
    </row>
    <row r="25" spans="1:2">
      <c r="A25" t="s">
        <v>240</v>
      </c>
      <c r="B25" s="27" t="s">
        <v>357</v>
      </c>
    </row>
    <row r="26" spans="1:2">
      <c r="A26" t="s">
        <v>717</v>
      </c>
      <c r="B26" s="27" t="s">
        <v>703</v>
      </c>
    </row>
    <row r="27" spans="1:2">
      <c r="A27" t="s">
        <v>337</v>
      </c>
      <c r="B27" s="27" t="s">
        <v>710</v>
      </c>
    </row>
    <row r="28" spans="1:2">
      <c r="A28" t="s">
        <v>749</v>
      </c>
      <c r="B28" s="27" t="s">
        <v>780</v>
      </c>
    </row>
    <row r="29" spans="1:2">
      <c r="A29" t="s">
        <v>309</v>
      </c>
      <c r="B29" s="27" t="s">
        <v>791</v>
      </c>
    </row>
    <row r="30" spans="1:2">
      <c r="A30" t="s">
        <v>1076</v>
      </c>
      <c r="B30" s="27" t="s">
        <v>801</v>
      </c>
    </row>
    <row r="31" spans="1:2">
      <c r="A31" t="s">
        <v>728</v>
      </c>
      <c r="B31" s="27" t="s">
        <v>437</v>
      </c>
    </row>
    <row r="32" spans="1:2">
      <c r="A32" t="s">
        <v>1110</v>
      </c>
      <c r="B32" s="27"/>
    </row>
    <row r="33" spans="1:2">
      <c r="A33" t="s">
        <v>114</v>
      </c>
      <c r="B33" s="27" t="s">
        <v>492</v>
      </c>
    </row>
    <row r="34" spans="1:2">
      <c r="A34" t="s">
        <v>285</v>
      </c>
      <c r="B34" s="27" t="s">
        <v>514</v>
      </c>
    </row>
    <row r="35" spans="1:2">
      <c r="A35" t="s">
        <v>514</v>
      </c>
      <c r="B35" s="27" t="s">
        <v>499</v>
      </c>
    </row>
    <row r="36" spans="1:2">
      <c r="A36" t="s">
        <v>1282</v>
      </c>
      <c r="B36" s="27" t="s">
        <v>749</v>
      </c>
    </row>
    <row r="37" spans="1:2">
      <c r="A37" t="s">
        <v>623</v>
      </c>
      <c r="B37" s="27" t="s">
        <v>734</v>
      </c>
    </row>
    <row r="38" spans="1:2">
      <c r="A38" t="s">
        <v>651</v>
      </c>
      <c r="B38" s="27" t="s">
        <v>741</v>
      </c>
    </row>
    <row r="39" spans="1:2">
      <c r="A39" t="s">
        <v>1150</v>
      </c>
      <c r="B39" s="27" t="s">
        <v>728</v>
      </c>
    </row>
    <row r="40" spans="1:2">
      <c r="A40" t="s">
        <v>780</v>
      </c>
      <c r="B40" s="27" t="s">
        <v>717</v>
      </c>
    </row>
    <row r="41" spans="1:2">
      <c r="A41" t="s">
        <v>424</v>
      </c>
      <c r="B41" s="27" t="s">
        <v>796</v>
      </c>
    </row>
    <row r="42" spans="1:2">
      <c r="A42" t="s">
        <v>1293</v>
      </c>
      <c r="B42" s="27" t="s">
        <v>536</v>
      </c>
    </row>
    <row r="43" spans="1:2">
      <c r="A43" t="s">
        <v>1213</v>
      </c>
      <c r="B43" s="27" t="s">
        <v>615</v>
      </c>
    </row>
    <row r="44" spans="1:2">
      <c r="A44" t="s">
        <v>1103</v>
      </c>
      <c r="B44" s="27" t="s">
        <v>623</v>
      </c>
    </row>
    <row r="45" spans="1:2">
      <c r="A45" t="s">
        <v>1128</v>
      </c>
      <c r="B45" s="27" t="s">
        <v>644</v>
      </c>
    </row>
    <row r="46" spans="1:2">
      <c r="A46" t="s">
        <v>1039</v>
      </c>
      <c r="B46" s="27" t="s">
        <v>1275</v>
      </c>
    </row>
    <row r="47" spans="1:2">
      <c r="A47" t="s">
        <v>1316</v>
      </c>
      <c r="B47" s="27" t="s">
        <v>1282</v>
      </c>
    </row>
    <row r="48" spans="1:2">
      <c r="A48" t="s">
        <v>1173</v>
      </c>
      <c r="B48" s="27" t="s">
        <v>636</v>
      </c>
    </row>
    <row r="49" spans="1:2">
      <c r="A49" t="s">
        <v>405</v>
      </c>
      <c r="B49" s="27" t="s">
        <v>663</v>
      </c>
    </row>
    <row r="50" spans="1:2">
      <c r="A50" t="s">
        <v>671</v>
      </c>
      <c r="B50" s="27" t="s">
        <v>689</v>
      </c>
    </row>
    <row r="51" spans="1:2">
      <c r="A51" t="s">
        <v>644</v>
      </c>
      <c r="B51" s="27" t="s">
        <v>580</v>
      </c>
    </row>
    <row r="52" spans="1:2">
      <c r="A52" t="s">
        <v>1381</v>
      </c>
      <c r="B52" s="27" t="s">
        <v>671</v>
      </c>
    </row>
    <row r="53" spans="1:2">
      <c r="A53" t="s">
        <v>1369</v>
      </c>
      <c r="B53" s="27" t="s">
        <v>1355</v>
      </c>
    </row>
    <row r="54" spans="1:2">
      <c r="A54" t="s">
        <v>54</v>
      </c>
      <c r="B54" s="27" t="s">
        <v>696</v>
      </c>
    </row>
    <row r="55" spans="1:2">
      <c r="A55" t="s">
        <v>801</v>
      </c>
      <c r="B55" s="27" t="s">
        <v>679</v>
      </c>
    </row>
    <row r="56" spans="1:2">
      <c r="A56" t="s">
        <v>1251</v>
      </c>
      <c r="B56" s="27" t="s">
        <v>884</v>
      </c>
    </row>
    <row r="57" spans="1:2">
      <c r="A57" t="s">
        <v>1200</v>
      </c>
      <c r="B57" s="27" t="s">
        <v>890</v>
      </c>
    </row>
    <row r="58" spans="1:2">
      <c r="A58" t="s">
        <v>357</v>
      </c>
      <c r="B58" s="27" t="s">
        <v>1145</v>
      </c>
    </row>
    <row r="59" spans="1:2">
      <c r="A59" t="s">
        <v>1045</v>
      </c>
      <c r="B59" s="27" t="s">
        <v>1150</v>
      </c>
    </row>
    <row r="60" spans="1:2">
      <c r="A60" t="s">
        <v>1145</v>
      </c>
      <c r="B60" s="27" t="s">
        <v>1159</v>
      </c>
    </row>
    <row r="61" spans="1:2">
      <c r="A61" t="s">
        <v>1187</v>
      </c>
      <c r="B61" s="27" t="s">
        <v>870</v>
      </c>
    </row>
    <row r="62" spans="1:2">
      <c r="A62" t="s">
        <v>961</v>
      </c>
      <c r="B62" s="27" t="s">
        <v>877</v>
      </c>
    </row>
    <row r="63" spans="1:2">
      <c r="A63" t="s">
        <v>1051</v>
      </c>
      <c r="B63" s="27" t="s">
        <v>917</v>
      </c>
    </row>
    <row r="64" spans="1:2">
      <c r="A64" t="s">
        <v>1159</v>
      </c>
      <c r="B64" s="27" t="s">
        <v>937</v>
      </c>
    </row>
    <row r="65" spans="1:2">
      <c r="A65" t="s">
        <v>1179</v>
      </c>
      <c r="B65" s="27" t="s">
        <v>943</v>
      </c>
    </row>
    <row r="66" spans="1:2">
      <c r="A66" t="s">
        <v>1022</v>
      </c>
      <c r="B66" s="27" t="s">
        <v>961</v>
      </c>
    </row>
    <row r="67" spans="1:2">
      <c r="A67" t="s">
        <v>1458</v>
      </c>
      <c r="B67" s="27" t="s">
        <v>1450</v>
      </c>
    </row>
    <row r="68" spans="1:2">
      <c r="A68" t="s">
        <v>248</v>
      </c>
      <c r="B68" s="27" t="s">
        <v>1016</v>
      </c>
    </row>
    <row r="69" spans="1:2">
      <c r="A69" t="s">
        <v>2173</v>
      </c>
      <c r="B69" s="27" t="s">
        <v>1022</v>
      </c>
    </row>
    <row r="70" spans="1:2">
      <c r="A70" t="s">
        <v>1347</v>
      </c>
      <c r="B70" s="27" t="s">
        <v>1039</v>
      </c>
    </row>
    <row r="71" spans="1:2">
      <c r="A71" t="s">
        <v>663</v>
      </c>
      <c r="B71" s="27" t="s">
        <v>1045</v>
      </c>
    </row>
    <row r="72" spans="1:2">
      <c r="A72" t="s">
        <v>741</v>
      </c>
      <c r="B72" s="27" t="s">
        <v>1051</v>
      </c>
    </row>
    <row r="73" spans="1:2">
      <c r="A73" t="s">
        <v>1206</v>
      </c>
      <c r="B73" s="27" t="s">
        <v>1057</v>
      </c>
    </row>
    <row r="74" spans="1:2">
      <c r="B74" s="27" t="s">
        <v>1458</v>
      </c>
    </row>
    <row r="75" spans="1:2">
      <c r="A75" t="s">
        <v>486</v>
      </c>
      <c r="B75" s="27" t="s">
        <v>822</v>
      </c>
    </row>
    <row r="76" spans="1:2">
      <c r="A76" t="s">
        <v>710</v>
      </c>
      <c r="B76" s="27" t="s">
        <v>829</v>
      </c>
    </row>
    <row r="77" spans="1:2">
      <c r="A77" t="s">
        <v>937</v>
      </c>
      <c r="B77" s="27" t="s">
        <v>1179</v>
      </c>
    </row>
    <row r="78" spans="1:2">
      <c r="A78" t="s">
        <v>350</v>
      </c>
      <c r="B78" s="27" t="s">
        <v>1187</v>
      </c>
    </row>
    <row r="79" spans="1:2">
      <c r="A79" t="s">
        <v>1275</v>
      </c>
      <c r="B79" s="27" t="s">
        <v>1200</v>
      </c>
    </row>
    <row r="80" spans="1:2">
      <c r="A80" t="s">
        <v>877</v>
      </c>
      <c r="B80" s="27" t="s">
        <v>1206</v>
      </c>
    </row>
    <row r="81" spans="1:2">
      <c r="A81" t="s">
        <v>870</v>
      </c>
      <c r="B81" s="27" t="s">
        <v>1193</v>
      </c>
    </row>
    <row r="82" spans="1:2">
      <c r="A82" t="s">
        <v>66</v>
      </c>
      <c r="B82" s="27" t="s">
        <v>1213</v>
      </c>
    </row>
    <row r="83" spans="1:2">
      <c r="A83" t="s">
        <v>104</v>
      </c>
      <c r="B83" s="27" t="s">
        <v>1293</v>
      </c>
    </row>
    <row r="84" spans="1:2">
      <c r="A84" t="s">
        <v>696</v>
      </c>
      <c r="B84" s="27" t="s">
        <v>1303</v>
      </c>
    </row>
    <row r="85" spans="1:2">
      <c r="A85" t="s">
        <v>703</v>
      </c>
      <c r="B85" s="27" t="s">
        <v>1316</v>
      </c>
    </row>
    <row r="86" spans="1:2">
      <c r="A86" t="s">
        <v>1088</v>
      </c>
      <c r="B86" s="27" t="s">
        <v>1071</v>
      </c>
    </row>
    <row r="87" spans="1:2">
      <c r="A87" t="s">
        <v>689</v>
      </c>
      <c r="B87" s="27" t="s">
        <v>1076</v>
      </c>
    </row>
    <row r="88" spans="1:2">
      <c r="A88" t="s">
        <v>615</v>
      </c>
      <c r="B88" s="27" t="s">
        <v>1088</v>
      </c>
    </row>
    <row r="89" spans="1:2">
      <c r="A89" t="s">
        <v>1339</v>
      </c>
      <c r="B89" s="27" t="s">
        <v>1095</v>
      </c>
    </row>
    <row r="90" spans="1:2">
      <c r="A90" t="s">
        <v>278</v>
      </c>
      <c r="B90" s="27" t="s">
        <v>1173</v>
      </c>
    </row>
    <row r="91" spans="1:2">
      <c r="A91" t="s">
        <v>1375</v>
      </c>
      <c r="B91" s="27" t="s">
        <v>1167</v>
      </c>
    </row>
    <row r="92" spans="1:2">
      <c r="A92" t="s">
        <v>1193</v>
      </c>
      <c r="B92" s="27" t="s">
        <v>1226</v>
      </c>
    </row>
    <row r="93" spans="1:2">
      <c r="A93" t="s">
        <v>1071</v>
      </c>
      <c r="B93" s="27" t="s">
        <v>1251</v>
      </c>
    </row>
    <row r="94" spans="1:2">
      <c r="A94" t="s">
        <v>1355</v>
      </c>
      <c r="B94" s="27" t="s">
        <v>1258</v>
      </c>
    </row>
    <row r="95" spans="1:2">
      <c r="A95" t="s">
        <v>1016</v>
      </c>
      <c r="B95" s="27" t="s">
        <v>1110</v>
      </c>
    </row>
    <row r="96" spans="1:2">
      <c r="A96" t="s">
        <v>636</v>
      </c>
      <c r="B96" s="27" t="s">
        <v>1323</v>
      </c>
    </row>
    <row r="97" spans="1:2">
      <c r="A97" t="s">
        <v>884</v>
      </c>
      <c r="B97" s="27" t="s">
        <v>1339</v>
      </c>
    </row>
    <row r="98" spans="1:2">
      <c r="A98" t="s">
        <v>580</v>
      </c>
      <c r="B98" s="27" t="s">
        <v>1347</v>
      </c>
    </row>
    <row r="99" spans="1:2">
      <c r="A99" t="s">
        <v>492</v>
      </c>
      <c r="B99" s="27" t="s">
        <v>486</v>
      </c>
    </row>
    <row r="100" spans="1:2">
      <c r="A100" t="s">
        <v>890</v>
      </c>
      <c r="B100" s="27" t="s">
        <v>1369</v>
      </c>
    </row>
    <row r="101" spans="1:2">
      <c r="A101" t="s">
        <v>1057</v>
      </c>
      <c r="B101" s="27" t="s">
        <v>1375</v>
      </c>
    </row>
    <row r="102" spans="1:2">
      <c r="A102" t="s">
        <v>1095</v>
      </c>
      <c r="B102" s="27" t="s">
        <v>1381</v>
      </c>
    </row>
    <row r="103" spans="1:2">
      <c r="A103" t="s">
        <v>398</v>
      </c>
    </row>
    <row r="104" spans="1:2">
      <c r="A104" t="s">
        <v>418</v>
      </c>
    </row>
    <row r="105" spans="1:2">
      <c r="A105" t="s">
        <v>1167</v>
      </c>
    </row>
    <row r="106" spans="1:2">
      <c r="A106" t="s">
        <v>255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zoomScale="70" zoomScaleNormal="70" workbookViewId="0">
      <selection activeCell="K8" sqref="K8"/>
    </sheetView>
  </sheetViews>
  <sheetFormatPr defaultColWidth="8.69090909090909" defaultRowHeight="14"/>
  <cols>
    <col min="1" max="1" width="28.9181818181818" customWidth="1"/>
    <col min="2" max="2" width="14.2272727272727" customWidth="1"/>
    <col min="3" max="3" width="14.9181818181818" customWidth="1"/>
    <col min="4" max="4" width="25.0727272727273" customWidth="1"/>
    <col min="5" max="5" width="8.69090909090909" style="55"/>
    <col min="6" max="6" width="19.0727272727273" customWidth="1"/>
    <col min="7" max="9" width="16.1545454545455" customWidth="1"/>
  </cols>
  <sheetData>
    <row r="1" spans="1:11">
      <c r="A1" s="29" t="s">
        <v>1</v>
      </c>
      <c r="B1" s="26" t="s">
        <v>3</v>
      </c>
      <c r="C1" s="26" t="s">
        <v>13</v>
      </c>
      <c r="D1" s="26" t="s">
        <v>4</v>
      </c>
      <c r="E1" s="30" t="s">
        <v>1385</v>
      </c>
      <c r="F1" s="26" t="s">
        <v>21</v>
      </c>
      <c r="G1" s="26" t="s">
        <v>1389</v>
      </c>
      <c r="H1" s="26" t="s">
        <v>1390</v>
      </c>
      <c r="I1" s="26" t="s">
        <v>27</v>
      </c>
    </row>
    <row r="2" spans="1:11">
      <c r="A2" s="27" t="s">
        <v>103</v>
      </c>
      <c r="B2" s="27" t="s">
        <v>33</v>
      </c>
      <c r="C2" s="27" t="s">
        <v>38</v>
      </c>
      <c r="D2" s="27" t="s">
        <v>67</v>
      </c>
      <c r="E2" s="35">
        <v>46</v>
      </c>
      <c r="F2">
        <v>2757</v>
      </c>
      <c r="G2" s="27">
        <f t="shared" ref="G2:G30" si="0">5*E2+10</f>
        <v>240</v>
      </c>
      <c r="H2" s="27">
        <f t="shared" ref="H2:H30" si="1">F2-G2</f>
        <v>2517</v>
      </c>
      <c r="I2" s="27" t="s">
        <v>111</v>
      </c>
    </row>
    <row r="3" spans="1:11">
      <c r="A3" s="27" t="s">
        <v>126</v>
      </c>
      <c r="B3" s="27" t="s">
        <v>33</v>
      </c>
      <c r="C3" s="27" t="s">
        <v>38</v>
      </c>
      <c r="D3" s="27" t="s">
        <v>67</v>
      </c>
      <c r="E3" s="35">
        <v>55</v>
      </c>
      <c r="F3">
        <v>42821</v>
      </c>
      <c r="G3" s="27">
        <f t="shared" si="0"/>
        <v>285</v>
      </c>
      <c r="H3" s="27">
        <f t="shared" si="1"/>
        <v>42536</v>
      </c>
      <c r="I3" s="27" t="s">
        <v>111</v>
      </c>
    </row>
    <row r="4" spans="1:11">
      <c r="A4" s="27" t="s">
        <v>126</v>
      </c>
      <c r="B4" s="27" t="s">
        <v>33</v>
      </c>
      <c r="C4" s="27" t="s">
        <v>38</v>
      </c>
      <c r="D4" s="27" t="s">
        <v>92</v>
      </c>
      <c r="E4" s="35">
        <v>7</v>
      </c>
      <c r="F4">
        <v>992</v>
      </c>
      <c r="G4" s="27">
        <f t="shared" si="0"/>
        <v>45</v>
      </c>
      <c r="H4" s="27">
        <f t="shared" si="1"/>
        <v>947</v>
      </c>
      <c r="I4" s="27" t="s">
        <v>145</v>
      </c>
    </row>
    <row r="5" spans="1:11">
      <c r="A5" s="27" t="s">
        <v>167</v>
      </c>
      <c r="B5" s="27" t="s">
        <v>33</v>
      </c>
      <c r="C5" s="27" t="s">
        <v>38</v>
      </c>
      <c r="D5" s="27" t="s">
        <v>67</v>
      </c>
      <c r="E5" s="35">
        <v>52</v>
      </c>
      <c r="F5">
        <v>119726</v>
      </c>
      <c r="G5" s="27">
        <f t="shared" si="0"/>
        <v>270</v>
      </c>
      <c r="H5" s="27">
        <f t="shared" si="1"/>
        <v>119456</v>
      </c>
      <c r="I5" s="27" t="s">
        <v>111</v>
      </c>
    </row>
    <row r="6" spans="1:11">
      <c r="A6" s="27" t="s">
        <v>167</v>
      </c>
      <c r="B6" s="27" t="s">
        <v>33</v>
      </c>
      <c r="C6" s="27" t="s">
        <v>38</v>
      </c>
      <c r="D6" s="27" t="s">
        <v>47</v>
      </c>
      <c r="E6" s="35">
        <v>26</v>
      </c>
      <c r="F6">
        <v>4289</v>
      </c>
      <c r="G6" s="27">
        <f t="shared" si="0"/>
        <v>140</v>
      </c>
      <c r="H6" s="27">
        <f t="shared" si="1"/>
        <v>4149</v>
      </c>
      <c r="I6" s="27" t="s">
        <v>111</v>
      </c>
    </row>
    <row r="7" spans="1:11">
      <c r="A7" s="27" t="s">
        <v>167</v>
      </c>
      <c r="B7" s="27" t="s">
        <v>33</v>
      </c>
      <c r="C7" s="27" t="s">
        <v>38</v>
      </c>
      <c r="D7" s="27" t="s">
        <v>187</v>
      </c>
      <c r="E7" s="35">
        <v>20</v>
      </c>
      <c r="F7" s="40">
        <v>10535</v>
      </c>
      <c r="G7" s="27">
        <f t="shared" si="0"/>
        <v>110</v>
      </c>
      <c r="H7" s="27">
        <f t="shared" si="1"/>
        <v>10425</v>
      </c>
      <c r="I7" s="27" t="s">
        <v>111</v>
      </c>
    </row>
    <row r="8" spans="1:11">
      <c r="A8" s="27" t="s">
        <v>167</v>
      </c>
      <c r="B8" s="27" t="s">
        <v>33</v>
      </c>
      <c r="C8" s="27" t="s">
        <v>38</v>
      </c>
      <c r="D8" s="27" t="s">
        <v>193</v>
      </c>
      <c r="E8" s="35">
        <v>21</v>
      </c>
      <c r="F8" s="40">
        <v>22856</v>
      </c>
      <c r="G8" s="27">
        <f t="shared" si="0"/>
        <v>115</v>
      </c>
      <c r="H8" s="27">
        <f t="shared" si="1"/>
        <v>22741</v>
      </c>
      <c r="I8" s="27" t="s">
        <v>111</v>
      </c>
      <c r="J8" t="s">
        <v>2174</v>
      </c>
      <c r="K8">
        <f>MEDIAN(F2:F29)</f>
        <v>2720</v>
      </c>
    </row>
    <row r="9" spans="1:11">
      <c r="A9" s="42" t="s">
        <v>247</v>
      </c>
      <c r="B9" s="27" t="s">
        <v>55</v>
      </c>
      <c r="C9" s="27" t="s">
        <v>59</v>
      </c>
      <c r="D9" s="27"/>
      <c r="E9" s="35">
        <v>36</v>
      </c>
      <c r="F9">
        <v>2892</v>
      </c>
      <c r="G9" s="27">
        <f t="shared" si="0"/>
        <v>190</v>
      </c>
      <c r="H9" s="27">
        <f t="shared" si="1"/>
        <v>2702</v>
      </c>
      <c r="I9" s="27" t="s">
        <v>111</v>
      </c>
      <c r="J9" t="s">
        <v>2175</v>
      </c>
      <c r="K9">
        <f>MIN(F2:F29)</f>
        <v>614</v>
      </c>
    </row>
    <row r="10" spans="1:11">
      <c r="A10" s="42" t="s">
        <v>327</v>
      </c>
      <c r="B10" s="27" t="s">
        <v>33</v>
      </c>
      <c r="C10" s="27" t="s">
        <v>38</v>
      </c>
      <c r="D10" s="27"/>
      <c r="E10" s="35">
        <v>35</v>
      </c>
      <c r="F10">
        <v>614</v>
      </c>
      <c r="G10" s="27">
        <f t="shared" si="0"/>
        <v>185</v>
      </c>
      <c r="H10" s="27">
        <f t="shared" si="1"/>
        <v>429</v>
      </c>
      <c r="I10" s="27" t="s">
        <v>145</v>
      </c>
      <c r="J10" t="s">
        <v>2176</v>
      </c>
      <c r="K10">
        <f>MAX(F2:F29)</f>
        <v>119726</v>
      </c>
    </row>
    <row r="11" spans="1:11">
      <c r="A11" s="42" t="s">
        <v>404</v>
      </c>
      <c r="B11" s="27" t="s">
        <v>33</v>
      </c>
      <c r="C11" s="27" t="s">
        <v>38</v>
      </c>
      <c r="D11" s="27"/>
      <c r="E11" s="35">
        <v>21</v>
      </c>
      <c r="F11">
        <v>887</v>
      </c>
      <c r="G11" s="27">
        <f t="shared" si="0"/>
        <v>115</v>
      </c>
      <c r="H11" s="27">
        <f t="shared" si="1"/>
        <v>772</v>
      </c>
      <c r="I11" s="27" t="s">
        <v>111</v>
      </c>
    </row>
    <row r="12" spans="1:11">
      <c r="A12" s="27" t="s">
        <v>436</v>
      </c>
      <c r="B12" s="27" t="s">
        <v>438</v>
      </c>
      <c r="C12" s="27" t="s">
        <v>442</v>
      </c>
      <c r="D12" s="27" t="s">
        <v>67</v>
      </c>
      <c r="E12" s="35">
        <v>52</v>
      </c>
      <c r="F12">
        <v>2262</v>
      </c>
      <c r="G12" s="27">
        <f t="shared" si="0"/>
        <v>270</v>
      </c>
      <c r="H12" s="27">
        <f t="shared" si="1"/>
        <v>1992</v>
      </c>
      <c r="I12" s="27" t="s">
        <v>111</v>
      </c>
    </row>
    <row r="13" spans="1:11">
      <c r="A13" s="42" t="s">
        <v>485</v>
      </c>
      <c r="B13" s="27" t="s">
        <v>438</v>
      </c>
      <c r="C13" s="27" t="s">
        <v>442</v>
      </c>
      <c r="D13" s="27"/>
      <c r="E13" s="55">
        <v>38</v>
      </c>
      <c r="F13" s="40">
        <v>1218</v>
      </c>
      <c r="G13" s="27">
        <f t="shared" si="0"/>
        <v>200</v>
      </c>
      <c r="H13" s="27">
        <f t="shared" si="1"/>
        <v>1018</v>
      </c>
      <c r="I13" s="27" t="s">
        <v>111</v>
      </c>
    </row>
    <row r="14" spans="1:11">
      <c r="A14" s="58" t="s">
        <v>561</v>
      </c>
      <c r="B14" s="28" t="s">
        <v>562</v>
      </c>
      <c r="C14" s="27" t="s">
        <v>565</v>
      </c>
      <c r="D14" s="27"/>
      <c r="E14" s="55">
        <v>45</v>
      </c>
      <c r="F14" s="40">
        <v>10610</v>
      </c>
      <c r="G14" s="27">
        <f t="shared" si="0"/>
        <v>235</v>
      </c>
      <c r="H14" s="27">
        <f t="shared" si="1"/>
        <v>10375</v>
      </c>
      <c r="I14" s="27" t="s">
        <v>111</v>
      </c>
    </row>
    <row r="15" spans="1:11">
      <c r="A15" s="58" t="s">
        <v>603</v>
      </c>
      <c r="B15" s="28" t="s">
        <v>562</v>
      </c>
      <c r="C15" s="27" t="s">
        <v>565</v>
      </c>
      <c r="D15" s="27"/>
      <c r="E15" s="55">
        <v>17</v>
      </c>
      <c r="F15" s="40">
        <v>3121</v>
      </c>
      <c r="G15" s="27">
        <f t="shared" si="0"/>
        <v>95</v>
      </c>
      <c r="H15" s="27">
        <f t="shared" si="1"/>
        <v>3026</v>
      </c>
      <c r="I15" s="27" t="s">
        <v>111</v>
      </c>
    </row>
    <row r="16" spans="1:11">
      <c r="A16" s="42" t="s">
        <v>662</v>
      </c>
      <c r="B16" s="28" t="s">
        <v>438</v>
      </c>
      <c r="C16" s="27" t="s">
        <v>442</v>
      </c>
      <c r="D16" s="27"/>
      <c r="E16" s="35">
        <v>12</v>
      </c>
      <c r="F16">
        <v>701</v>
      </c>
      <c r="G16" s="27">
        <f t="shared" si="0"/>
        <v>70</v>
      </c>
      <c r="H16" s="27">
        <f t="shared" si="1"/>
        <v>631</v>
      </c>
      <c r="I16" s="27" t="s">
        <v>111</v>
      </c>
    </row>
    <row r="17" spans="1:9">
      <c r="A17" s="42" t="s">
        <v>670</v>
      </c>
      <c r="B17" s="28" t="s">
        <v>438</v>
      </c>
      <c r="C17" s="27" t="s">
        <v>442</v>
      </c>
      <c r="D17" s="27"/>
      <c r="E17" s="35">
        <v>26</v>
      </c>
      <c r="F17">
        <v>1855</v>
      </c>
      <c r="G17" s="27">
        <f t="shared" si="0"/>
        <v>140</v>
      </c>
      <c r="H17" s="27">
        <f t="shared" si="1"/>
        <v>1715</v>
      </c>
      <c r="I17" s="27" t="s">
        <v>111</v>
      </c>
    </row>
    <row r="18" spans="1:9">
      <c r="A18" s="42" t="s">
        <v>695</v>
      </c>
      <c r="B18" s="27" t="s">
        <v>438</v>
      </c>
      <c r="C18" s="27" t="s">
        <v>442</v>
      </c>
      <c r="D18" s="27" t="s">
        <v>67</v>
      </c>
      <c r="E18" s="35">
        <v>82</v>
      </c>
      <c r="F18">
        <v>2301</v>
      </c>
      <c r="G18" s="27">
        <f t="shared" si="0"/>
        <v>420</v>
      </c>
      <c r="H18" s="27">
        <f t="shared" si="1"/>
        <v>1881</v>
      </c>
      <c r="I18" s="27" t="s">
        <v>145</v>
      </c>
    </row>
    <row r="19" spans="1:9">
      <c r="A19" s="27" t="s">
        <v>936</v>
      </c>
      <c r="B19" s="27" t="s">
        <v>33</v>
      </c>
      <c r="C19" s="27" t="s">
        <v>38</v>
      </c>
      <c r="D19" s="27" t="s">
        <v>67</v>
      </c>
      <c r="E19" s="35">
        <v>55</v>
      </c>
      <c r="F19" s="40">
        <v>15994</v>
      </c>
      <c r="G19" s="27">
        <f t="shared" si="0"/>
        <v>285</v>
      </c>
      <c r="H19" s="27">
        <f t="shared" si="1"/>
        <v>15709</v>
      </c>
      <c r="I19" s="27" t="s">
        <v>111</v>
      </c>
    </row>
    <row r="20" spans="1:9">
      <c r="A20" s="42" t="s">
        <v>977</v>
      </c>
      <c r="B20" s="27" t="s">
        <v>438</v>
      </c>
      <c r="C20" s="27" t="s">
        <v>442</v>
      </c>
      <c r="D20" s="27" t="s">
        <v>67</v>
      </c>
      <c r="E20" s="35">
        <v>24</v>
      </c>
      <c r="F20">
        <v>2683</v>
      </c>
      <c r="G20" s="27">
        <f t="shared" si="0"/>
        <v>130</v>
      </c>
      <c r="H20" s="27">
        <f t="shared" si="1"/>
        <v>2553</v>
      </c>
      <c r="I20" s="27" t="s">
        <v>111</v>
      </c>
    </row>
    <row r="21" spans="1:9">
      <c r="A21" s="27" t="s">
        <v>1109</v>
      </c>
      <c r="B21" s="27" t="s">
        <v>33</v>
      </c>
      <c r="C21" s="27" t="s">
        <v>38</v>
      </c>
      <c r="D21" s="27" t="s">
        <v>67</v>
      </c>
      <c r="E21" s="35">
        <v>50</v>
      </c>
      <c r="F21">
        <v>8444</v>
      </c>
      <c r="G21" s="27">
        <f t="shared" si="0"/>
        <v>260</v>
      </c>
      <c r="H21" s="27">
        <f t="shared" si="1"/>
        <v>8184</v>
      </c>
      <c r="I21" s="27" t="s">
        <v>111</v>
      </c>
    </row>
    <row r="22" spans="1:9">
      <c r="A22" s="27" t="s">
        <v>1109</v>
      </c>
      <c r="B22" s="27" t="s">
        <v>33</v>
      </c>
      <c r="C22" s="27" t="s">
        <v>38</v>
      </c>
      <c r="D22" s="27" t="s">
        <v>47</v>
      </c>
      <c r="E22" s="35">
        <v>22</v>
      </c>
      <c r="F22">
        <v>656</v>
      </c>
      <c r="G22" s="27">
        <f t="shared" si="0"/>
        <v>120</v>
      </c>
      <c r="H22" s="27">
        <f t="shared" si="1"/>
        <v>536</v>
      </c>
      <c r="I22" s="27" t="s">
        <v>145</v>
      </c>
    </row>
    <row r="23" spans="1:9">
      <c r="A23" s="42" t="s">
        <v>1135</v>
      </c>
      <c r="B23" s="27" t="s">
        <v>33</v>
      </c>
      <c r="C23" s="27" t="s">
        <v>38</v>
      </c>
      <c r="D23" s="27"/>
      <c r="E23" s="35">
        <v>27</v>
      </c>
      <c r="F23" s="48">
        <v>3887</v>
      </c>
      <c r="G23" s="27">
        <f t="shared" si="0"/>
        <v>145</v>
      </c>
      <c r="H23" s="27">
        <f t="shared" si="1"/>
        <v>3742</v>
      </c>
      <c r="I23" s="27" t="s">
        <v>111</v>
      </c>
    </row>
    <row r="24" spans="1:9">
      <c r="A24" s="42" t="s">
        <v>1178</v>
      </c>
      <c r="B24" s="28" t="s">
        <v>562</v>
      </c>
      <c r="C24" s="27" t="s">
        <v>565</v>
      </c>
      <c r="D24" s="27"/>
      <c r="E24" s="35">
        <v>49</v>
      </c>
      <c r="F24" s="7">
        <v>1837</v>
      </c>
      <c r="G24" s="27">
        <f t="shared" si="0"/>
        <v>255</v>
      </c>
      <c r="H24" s="27">
        <f t="shared" si="1"/>
        <v>1582</v>
      </c>
      <c r="I24" s="27" t="s">
        <v>111</v>
      </c>
    </row>
    <row r="25" spans="1:9">
      <c r="A25" s="42" t="s">
        <v>1192</v>
      </c>
      <c r="B25" s="27" t="s">
        <v>33</v>
      </c>
      <c r="C25" s="27" t="s">
        <v>38</v>
      </c>
      <c r="D25" s="27"/>
      <c r="E25" s="35">
        <v>12</v>
      </c>
      <c r="F25" s="7">
        <v>1055</v>
      </c>
      <c r="G25" s="27">
        <f t="shared" si="0"/>
        <v>70</v>
      </c>
      <c r="H25" s="27">
        <f t="shared" si="1"/>
        <v>985</v>
      </c>
      <c r="I25" s="27" t="s">
        <v>111</v>
      </c>
    </row>
    <row r="26" spans="1:9">
      <c r="A26" s="42" t="s">
        <v>1192</v>
      </c>
      <c r="B26" s="27" t="s">
        <v>520</v>
      </c>
      <c r="C26" s="27" t="s">
        <v>523</v>
      </c>
      <c r="D26" s="27"/>
      <c r="E26" s="35">
        <v>21</v>
      </c>
      <c r="F26" s="7">
        <v>3434</v>
      </c>
      <c r="G26" s="27">
        <f t="shared" si="0"/>
        <v>115</v>
      </c>
      <c r="H26" s="27">
        <f t="shared" si="1"/>
        <v>3319</v>
      </c>
      <c r="I26" s="27" t="s">
        <v>111</v>
      </c>
    </row>
    <row r="27" spans="1:9">
      <c r="A27" s="42" t="s">
        <v>1192</v>
      </c>
      <c r="B27" s="28" t="s">
        <v>562</v>
      </c>
      <c r="C27" s="27" t="s">
        <v>565</v>
      </c>
      <c r="D27" s="27"/>
      <c r="E27" s="55">
        <v>15</v>
      </c>
      <c r="F27" s="40">
        <v>1443</v>
      </c>
      <c r="G27" s="27">
        <f t="shared" si="0"/>
        <v>85</v>
      </c>
      <c r="H27" s="27">
        <f t="shared" si="1"/>
        <v>1358</v>
      </c>
      <c r="I27" s="27" t="s">
        <v>111</v>
      </c>
    </row>
    <row r="28" spans="1:9">
      <c r="A28" s="42" t="s">
        <v>1338</v>
      </c>
      <c r="B28" s="27" t="s">
        <v>33</v>
      </c>
      <c r="C28" s="27" t="s">
        <v>38</v>
      </c>
      <c r="D28" s="27"/>
      <c r="E28" s="35">
        <v>25</v>
      </c>
      <c r="F28">
        <v>4740</v>
      </c>
      <c r="G28" s="27">
        <f t="shared" si="0"/>
        <v>135</v>
      </c>
      <c r="H28" s="27">
        <f t="shared" si="1"/>
        <v>4605</v>
      </c>
      <c r="I28" s="27" t="s">
        <v>111</v>
      </c>
    </row>
    <row r="29" spans="1:9">
      <c r="A29" s="42" t="s">
        <v>1346</v>
      </c>
      <c r="B29" s="34" t="s">
        <v>568</v>
      </c>
      <c r="C29" s="34" t="s">
        <v>571</v>
      </c>
      <c r="D29" s="27"/>
      <c r="E29" s="35">
        <v>10</v>
      </c>
      <c r="F29">
        <v>936</v>
      </c>
      <c r="G29" s="27">
        <f t="shared" si="0"/>
        <v>60</v>
      </c>
      <c r="H29" s="27">
        <f t="shared" si="1"/>
        <v>876</v>
      </c>
      <c r="I29" s="27" t="s">
        <v>145</v>
      </c>
    </row>
  </sheetData>
  <autoFilter xmlns:etc="http://www.wps.cn/officeDocument/2017/etCustomData" ref="F1:F29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zoomScale="70" zoomScaleNormal="70" topLeftCell="B1" workbookViewId="0">
      <selection activeCell="H16" sqref="H16"/>
    </sheetView>
  </sheetViews>
  <sheetFormatPr defaultColWidth="8.69090909090909" defaultRowHeight="14"/>
  <cols>
    <col min="1" max="1" width="19" customWidth="1"/>
    <col min="2" max="2" width="46.3090909090909" customWidth="1"/>
    <col min="3" max="3" width="42.5363636363636" customWidth="1"/>
    <col min="4" max="4" width="23.2272727272727" customWidth="1"/>
    <col min="5" max="5" width="12.6909090909091" style="55" customWidth="1"/>
    <col min="6" max="7" width="17.8454545454545" customWidth="1"/>
    <col min="8" max="8" width="10.3818181818182" customWidth="1"/>
    <col min="9" max="9" width="16.4636363636364" customWidth="1"/>
    <col min="12" max="12" width="15.1545454545455" customWidth="1"/>
    <col min="13" max="13" width="9.53636363636364"/>
  </cols>
  <sheetData>
    <row r="1" spans="1:13">
      <c r="A1" s="29" t="s">
        <v>1</v>
      </c>
      <c r="B1" s="26" t="s">
        <v>3</v>
      </c>
      <c r="C1" s="26" t="s">
        <v>13</v>
      </c>
      <c r="D1" s="26" t="s">
        <v>4</v>
      </c>
      <c r="E1" s="30" t="s">
        <v>1385</v>
      </c>
      <c r="F1" s="26" t="s">
        <v>21</v>
      </c>
      <c r="G1" s="26" t="s">
        <v>2177</v>
      </c>
      <c r="H1" s="26" t="s">
        <v>1389</v>
      </c>
      <c r="I1" s="26" t="s">
        <v>2178</v>
      </c>
      <c r="J1" s="26" t="s">
        <v>27</v>
      </c>
    </row>
    <row r="2" spans="1:13">
      <c r="A2" s="27" t="s">
        <v>31</v>
      </c>
      <c r="B2" s="27" t="s">
        <v>33</v>
      </c>
      <c r="C2" s="27" t="s">
        <v>38</v>
      </c>
      <c r="D2" s="27" t="s">
        <v>47</v>
      </c>
      <c r="E2" s="35">
        <v>23</v>
      </c>
      <c r="F2">
        <v>23</v>
      </c>
      <c r="G2">
        <v>23</v>
      </c>
      <c r="H2" s="37">
        <f>5*E2+10</f>
        <v>125</v>
      </c>
      <c r="I2" s="37">
        <f>F2-H2</f>
        <v>-102</v>
      </c>
      <c r="J2" s="37" t="s">
        <v>52</v>
      </c>
    </row>
    <row r="3" spans="1:13">
      <c r="A3" s="42" t="s">
        <v>31</v>
      </c>
      <c r="B3" s="27" t="s">
        <v>55</v>
      </c>
      <c r="C3" s="27" t="s">
        <v>59</v>
      </c>
      <c r="D3" s="27"/>
      <c r="E3" s="35">
        <v>23</v>
      </c>
      <c r="F3">
        <v>75</v>
      </c>
      <c r="G3">
        <v>75</v>
      </c>
      <c r="H3" s="37">
        <f>5*E3+10</f>
        <v>125</v>
      </c>
      <c r="I3" s="37">
        <f t="shared" ref="I3:I34" si="0">F3-H3</f>
        <v>-50</v>
      </c>
      <c r="J3" s="37" t="s">
        <v>63</v>
      </c>
    </row>
    <row r="4" spans="1:13">
      <c r="A4" s="27" t="s">
        <v>65</v>
      </c>
      <c r="B4" s="27" t="s">
        <v>33</v>
      </c>
      <c r="C4" s="27" t="s">
        <v>38</v>
      </c>
      <c r="D4" s="27" t="s">
        <v>67</v>
      </c>
      <c r="E4" s="35">
        <v>50</v>
      </c>
      <c r="F4">
        <v>2016</v>
      </c>
      <c r="G4">
        <v>2016</v>
      </c>
      <c r="H4" s="37">
        <f>5*E4+10</f>
        <v>260</v>
      </c>
      <c r="I4" s="37">
        <f t="shared" si="0"/>
        <v>1756</v>
      </c>
      <c r="J4" s="37" t="s">
        <v>52</v>
      </c>
    </row>
    <row r="5" spans="1:13">
      <c r="A5" s="27" t="s">
        <v>75</v>
      </c>
      <c r="B5" s="27" t="s">
        <v>55</v>
      </c>
      <c r="C5" s="27" t="s">
        <v>59</v>
      </c>
      <c r="D5" s="27" t="s">
        <v>96</v>
      </c>
      <c r="E5" s="35">
        <v>6</v>
      </c>
      <c r="F5">
        <v>25</v>
      </c>
      <c r="G5">
        <v>25</v>
      </c>
      <c r="H5" s="37">
        <f t="shared" ref="H5:H36" si="1">5*E5+10</f>
        <v>40</v>
      </c>
      <c r="I5" s="37">
        <f t="shared" si="0"/>
        <v>-15</v>
      </c>
      <c r="J5" s="37" t="s">
        <v>52</v>
      </c>
    </row>
    <row r="6" spans="1:13">
      <c r="A6" s="27" t="s">
        <v>113</v>
      </c>
      <c r="B6" s="27" t="s">
        <v>33</v>
      </c>
      <c r="C6" s="27" t="s">
        <v>38</v>
      </c>
      <c r="D6" s="27" t="s">
        <v>121</v>
      </c>
      <c r="E6" s="35">
        <v>7</v>
      </c>
      <c r="F6" s="40">
        <v>264</v>
      </c>
      <c r="G6" s="40">
        <v>264</v>
      </c>
      <c r="H6" s="37">
        <f t="shared" si="1"/>
        <v>45</v>
      </c>
      <c r="I6" s="37">
        <f t="shared" si="0"/>
        <v>219</v>
      </c>
      <c r="J6" s="27" t="s">
        <v>63</v>
      </c>
      <c r="L6" t="s">
        <v>2179</v>
      </c>
      <c r="M6">
        <f>MEDIAN(F2:F106)</f>
        <v>92</v>
      </c>
    </row>
    <row r="7" spans="1:13">
      <c r="A7" s="27" t="s">
        <v>126</v>
      </c>
      <c r="B7" s="27" t="s">
        <v>33</v>
      </c>
      <c r="C7" s="27" t="s">
        <v>38</v>
      </c>
      <c r="D7" s="27" t="s">
        <v>85</v>
      </c>
      <c r="E7" s="35">
        <v>6</v>
      </c>
      <c r="F7">
        <v>185</v>
      </c>
      <c r="G7">
        <v>185</v>
      </c>
      <c r="H7" s="37">
        <f t="shared" si="1"/>
        <v>40</v>
      </c>
      <c r="I7" s="37">
        <f t="shared" si="0"/>
        <v>145</v>
      </c>
      <c r="J7" s="37" t="s">
        <v>63</v>
      </c>
      <c r="L7" t="s">
        <v>2180</v>
      </c>
      <c r="M7">
        <v>0</v>
      </c>
    </row>
    <row r="8" spans="1:13">
      <c r="A8" s="27" t="s">
        <v>126</v>
      </c>
      <c r="B8" s="27" t="s">
        <v>33</v>
      </c>
      <c r="C8" s="27" t="s">
        <v>38</v>
      </c>
      <c r="D8" s="27" t="s">
        <v>148</v>
      </c>
      <c r="E8" s="35">
        <v>4</v>
      </c>
      <c r="F8" s="40">
        <v>207</v>
      </c>
      <c r="G8" s="40">
        <v>207</v>
      </c>
      <c r="H8" s="37">
        <f t="shared" si="1"/>
        <v>30</v>
      </c>
      <c r="I8" s="37">
        <f t="shared" si="0"/>
        <v>177</v>
      </c>
      <c r="J8" s="27" t="s">
        <v>63</v>
      </c>
      <c r="L8" t="s">
        <v>2181</v>
      </c>
      <c r="M8">
        <v>11333011</v>
      </c>
    </row>
    <row r="9" spans="1:13">
      <c r="A9" s="27" t="s">
        <v>161</v>
      </c>
      <c r="B9" s="27" t="s">
        <v>55</v>
      </c>
      <c r="C9" s="27" t="s">
        <v>59</v>
      </c>
      <c r="D9" s="27"/>
      <c r="E9" s="35">
        <v>44</v>
      </c>
      <c r="F9" s="40">
        <v>11333011</v>
      </c>
      <c r="G9" s="40"/>
      <c r="H9" s="37">
        <f t="shared" si="1"/>
        <v>230</v>
      </c>
      <c r="I9" s="37">
        <f t="shared" si="0"/>
        <v>11332781</v>
      </c>
      <c r="J9" s="27" t="s">
        <v>52</v>
      </c>
    </row>
    <row r="10" spans="1:13">
      <c r="A10" s="45" t="s">
        <v>212</v>
      </c>
      <c r="B10" s="34" t="s">
        <v>33</v>
      </c>
      <c r="C10" s="34" t="s">
        <v>38</v>
      </c>
      <c r="D10" s="34" t="s">
        <v>67</v>
      </c>
      <c r="E10" s="46">
        <v>40</v>
      </c>
      <c r="F10" s="48">
        <v>13596</v>
      </c>
      <c r="G10" s="48">
        <v>13596</v>
      </c>
      <c r="H10" s="37">
        <f t="shared" si="1"/>
        <v>210</v>
      </c>
      <c r="I10" s="37">
        <f t="shared" si="0"/>
        <v>13386</v>
      </c>
      <c r="J10" s="34" t="s">
        <v>52</v>
      </c>
    </row>
    <row r="11" spans="1:13">
      <c r="A11" s="42" t="s">
        <v>212</v>
      </c>
      <c r="B11" s="27" t="s">
        <v>33</v>
      </c>
      <c r="C11" s="27" t="s">
        <v>38</v>
      </c>
      <c r="D11" s="27" t="s">
        <v>187</v>
      </c>
      <c r="E11" s="35">
        <v>7</v>
      </c>
      <c r="F11" s="40">
        <v>88</v>
      </c>
      <c r="G11" s="40">
        <v>88</v>
      </c>
      <c r="H11" s="37">
        <f t="shared" si="1"/>
        <v>45</v>
      </c>
      <c r="I11" s="37">
        <f t="shared" si="0"/>
        <v>43</v>
      </c>
      <c r="J11" s="27" t="s">
        <v>63</v>
      </c>
    </row>
    <row r="12" spans="1:13">
      <c r="A12" s="42" t="s">
        <v>212</v>
      </c>
      <c r="B12" s="27" t="s">
        <v>33</v>
      </c>
      <c r="C12" s="27" t="s">
        <v>38</v>
      </c>
      <c r="D12" s="27" t="s">
        <v>193</v>
      </c>
      <c r="E12" s="35">
        <v>8</v>
      </c>
      <c r="F12" s="40">
        <v>536</v>
      </c>
      <c r="G12" s="40">
        <v>536</v>
      </c>
      <c r="H12" s="37">
        <f t="shared" si="1"/>
        <v>50</v>
      </c>
      <c r="I12" s="37">
        <f t="shared" si="0"/>
        <v>486</v>
      </c>
      <c r="J12" s="27" t="s">
        <v>63</v>
      </c>
    </row>
    <row r="13" spans="1:13">
      <c r="A13" s="42" t="s">
        <v>226</v>
      </c>
      <c r="B13" s="27" t="s">
        <v>33</v>
      </c>
      <c r="C13" s="27" t="s">
        <v>38</v>
      </c>
      <c r="D13" s="27" t="s">
        <v>67</v>
      </c>
      <c r="E13" s="35">
        <v>37</v>
      </c>
      <c r="F13">
        <v>6340</v>
      </c>
      <c r="G13">
        <v>6340</v>
      </c>
      <c r="H13" s="37">
        <f t="shared" si="1"/>
        <v>195</v>
      </c>
      <c r="I13" s="37">
        <f t="shared" si="0"/>
        <v>6145</v>
      </c>
      <c r="J13" s="37" t="s">
        <v>52</v>
      </c>
    </row>
    <row r="14" spans="1:13">
      <c r="A14" s="27" t="s">
        <v>226</v>
      </c>
      <c r="B14" s="27" t="s">
        <v>33</v>
      </c>
      <c r="C14" s="27" t="s">
        <v>38</v>
      </c>
      <c r="D14" s="27" t="s">
        <v>187</v>
      </c>
      <c r="E14" s="35">
        <v>7</v>
      </c>
      <c r="F14" s="40">
        <v>18</v>
      </c>
      <c r="G14" s="40">
        <v>18</v>
      </c>
      <c r="H14" s="37">
        <f t="shared" si="1"/>
        <v>45</v>
      </c>
      <c r="I14" s="37">
        <f t="shared" si="0"/>
        <v>-27</v>
      </c>
      <c r="J14" s="27" t="s">
        <v>63</v>
      </c>
      <c r="L14" t="s">
        <v>2182</v>
      </c>
      <c r="M14">
        <f>MEDIAN(G2:G106)</f>
        <v>107</v>
      </c>
    </row>
    <row r="15" spans="1:13">
      <c r="A15" s="27" t="s">
        <v>226</v>
      </c>
      <c r="B15" s="27" t="s">
        <v>33</v>
      </c>
      <c r="C15" s="27" t="s">
        <v>38</v>
      </c>
      <c r="D15" s="27" t="s">
        <v>193</v>
      </c>
      <c r="E15" s="35">
        <v>8</v>
      </c>
      <c r="F15" s="40">
        <v>333</v>
      </c>
      <c r="G15" s="40">
        <v>333</v>
      </c>
      <c r="H15" s="37">
        <f t="shared" si="1"/>
        <v>50</v>
      </c>
      <c r="I15" s="37">
        <f t="shared" si="0"/>
        <v>283</v>
      </c>
      <c r="J15" s="27" t="s">
        <v>63</v>
      </c>
      <c r="L15" t="s">
        <v>2180</v>
      </c>
      <c r="M15">
        <f>MIN(G2:G106)</f>
        <v>3</v>
      </c>
    </row>
    <row r="16" spans="1:13">
      <c r="A16" s="42" t="s">
        <v>239</v>
      </c>
      <c r="B16" s="27" t="s">
        <v>55</v>
      </c>
      <c r="C16" s="27" t="s">
        <v>59</v>
      </c>
      <c r="D16" s="27"/>
      <c r="E16" s="35">
        <v>33</v>
      </c>
      <c r="F16">
        <v>2182</v>
      </c>
      <c r="G16">
        <v>2182</v>
      </c>
      <c r="H16" s="37">
        <f t="shared" si="1"/>
        <v>175</v>
      </c>
      <c r="I16" s="37">
        <f t="shared" si="0"/>
        <v>2007</v>
      </c>
      <c r="J16" s="37" t="s">
        <v>52</v>
      </c>
      <c r="L16" t="s">
        <v>2181</v>
      </c>
      <c r="M16">
        <f>MAX(G2:G106)</f>
        <v>13596</v>
      </c>
    </row>
    <row r="17" spans="1:10">
      <c r="A17" s="42" t="s">
        <v>247</v>
      </c>
      <c r="B17" s="27" t="s">
        <v>33</v>
      </c>
      <c r="C17" s="27" t="s">
        <v>38</v>
      </c>
      <c r="D17" s="27"/>
      <c r="E17" s="35">
        <v>43</v>
      </c>
      <c r="F17">
        <v>1391</v>
      </c>
      <c r="G17">
        <v>1391</v>
      </c>
      <c r="H17" s="37">
        <f t="shared" si="1"/>
        <v>225</v>
      </c>
      <c r="I17" s="37">
        <f t="shared" si="0"/>
        <v>1166</v>
      </c>
      <c r="J17" s="37" t="s">
        <v>52</v>
      </c>
    </row>
    <row r="18" spans="1:10">
      <c r="A18" s="27" t="s">
        <v>262</v>
      </c>
      <c r="B18" s="27" t="s">
        <v>33</v>
      </c>
      <c r="C18" s="27" t="s">
        <v>38</v>
      </c>
      <c r="D18" s="57" t="s">
        <v>85</v>
      </c>
      <c r="E18" s="35">
        <v>5</v>
      </c>
      <c r="F18" s="40">
        <v>6</v>
      </c>
      <c r="G18" s="40">
        <v>6</v>
      </c>
      <c r="H18" s="37">
        <f t="shared" si="1"/>
        <v>35</v>
      </c>
      <c r="I18" s="37">
        <f t="shared" si="0"/>
        <v>-29</v>
      </c>
      <c r="J18" s="27" t="s">
        <v>63</v>
      </c>
    </row>
    <row r="19" spans="1:10">
      <c r="A19" s="27" t="s">
        <v>262</v>
      </c>
      <c r="B19" s="27" t="s">
        <v>33</v>
      </c>
      <c r="C19" s="27" t="s">
        <v>38</v>
      </c>
      <c r="D19" s="57" t="s">
        <v>269</v>
      </c>
      <c r="E19" s="35">
        <v>5</v>
      </c>
      <c r="F19" s="27">
        <v>0</v>
      </c>
      <c r="G19" s="27"/>
      <c r="H19" s="37">
        <f t="shared" si="1"/>
        <v>35</v>
      </c>
      <c r="I19" s="37">
        <f t="shared" si="0"/>
        <v>-35</v>
      </c>
      <c r="J19" s="27" t="s">
        <v>63</v>
      </c>
    </row>
    <row r="20" spans="1:10">
      <c r="A20" s="27" t="s">
        <v>262</v>
      </c>
      <c r="B20" s="27" t="s">
        <v>33</v>
      </c>
      <c r="C20" s="27" t="s">
        <v>38</v>
      </c>
      <c r="D20" s="27" t="s">
        <v>273</v>
      </c>
      <c r="E20" s="35">
        <v>5</v>
      </c>
      <c r="F20" s="40">
        <v>3</v>
      </c>
      <c r="G20" s="40">
        <v>3</v>
      </c>
      <c r="H20" s="37">
        <f t="shared" si="1"/>
        <v>35</v>
      </c>
      <c r="I20" s="37">
        <f t="shared" si="0"/>
        <v>-32</v>
      </c>
      <c r="J20" s="27" t="s">
        <v>63</v>
      </c>
    </row>
    <row r="21" spans="1:10">
      <c r="A21" s="42" t="s">
        <v>277</v>
      </c>
      <c r="B21" s="27" t="s">
        <v>55</v>
      </c>
      <c r="C21" s="27" t="s">
        <v>59</v>
      </c>
      <c r="D21" s="27"/>
      <c r="E21" s="35">
        <v>22</v>
      </c>
      <c r="F21">
        <v>1760</v>
      </c>
      <c r="G21">
        <v>1760</v>
      </c>
      <c r="H21" s="37">
        <f t="shared" si="1"/>
        <v>120</v>
      </c>
      <c r="I21" s="37">
        <f t="shared" si="0"/>
        <v>1640</v>
      </c>
      <c r="J21" s="37" t="s">
        <v>52</v>
      </c>
    </row>
    <row r="22" spans="1:10">
      <c r="A22" s="42" t="s">
        <v>284</v>
      </c>
      <c r="B22" s="27" t="s">
        <v>55</v>
      </c>
      <c r="C22" s="27" t="s">
        <v>59</v>
      </c>
      <c r="D22" s="27"/>
      <c r="E22" s="35">
        <v>11</v>
      </c>
      <c r="F22">
        <v>271</v>
      </c>
      <c r="G22">
        <v>271</v>
      </c>
      <c r="H22" s="37">
        <f t="shared" si="1"/>
        <v>65</v>
      </c>
      <c r="I22" s="37">
        <f t="shared" si="0"/>
        <v>206</v>
      </c>
      <c r="J22" s="37" t="s">
        <v>52</v>
      </c>
    </row>
    <row r="23" spans="1:10">
      <c r="A23" s="42" t="s">
        <v>296</v>
      </c>
      <c r="B23" s="27" t="s">
        <v>33</v>
      </c>
      <c r="C23" s="27" t="s">
        <v>38</v>
      </c>
      <c r="D23" s="27"/>
      <c r="E23" s="35">
        <v>24</v>
      </c>
      <c r="F23">
        <v>575</v>
      </c>
      <c r="G23">
        <v>575</v>
      </c>
      <c r="H23" s="37">
        <f t="shared" si="1"/>
        <v>130</v>
      </c>
      <c r="I23" s="37">
        <f t="shared" si="0"/>
        <v>445</v>
      </c>
      <c r="J23" s="37" t="s">
        <v>63</v>
      </c>
    </row>
    <row r="24" spans="1:10">
      <c r="A24" s="42" t="s">
        <v>308</v>
      </c>
      <c r="B24" s="27" t="s">
        <v>33</v>
      </c>
      <c r="C24" s="27" t="s">
        <v>38</v>
      </c>
      <c r="D24" s="27"/>
      <c r="E24" s="35">
        <v>13</v>
      </c>
      <c r="F24">
        <v>117</v>
      </c>
      <c r="G24">
        <v>117</v>
      </c>
      <c r="H24" s="37">
        <f t="shared" si="1"/>
        <v>75</v>
      </c>
      <c r="I24" s="37">
        <f t="shared" si="0"/>
        <v>42</v>
      </c>
      <c r="J24" s="37" t="s">
        <v>52</v>
      </c>
    </row>
    <row r="25" spans="1:10">
      <c r="A25" s="42" t="s">
        <v>321</v>
      </c>
      <c r="B25" s="27" t="s">
        <v>33</v>
      </c>
      <c r="C25" s="27" t="s">
        <v>38</v>
      </c>
      <c r="D25" s="27"/>
      <c r="E25" s="35">
        <v>11</v>
      </c>
      <c r="F25">
        <v>377</v>
      </c>
      <c r="G25">
        <v>377</v>
      </c>
      <c r="H25" s="37">
        <f t="shared" si="1"/>
        <v>65</v>
      </c>
      <c r="I25" s="37">
        <f t="shared" si="0"/>
        <v>312</v>
      </c>
      <c r="J25" s="37" t="s">
        <v>63</v>
      </c>
    </row>
    <row r="26" spans="1:10">
      <c r="A26" s="27" t="s">
        <v>336</v>
      </c>
      <c r="B26" s="27" t="s">
        <v>55</v>
      </c>
      <c r="C26" s="27" t="s">
        <v>59</v>
      </c>
      <c r="D26" s="27"/>
      <c r="E26" s="35">
        <v>4</v>
      </c>
      <c r="F26" s="40">
        <v>4</v>
      </c>
      <c r="G26" s="40">
        <v>4</v>
      </c>
      <c r="H26" s="37">
        <f t="shared" si="1"/>
        <v>30</v>
      </c>
      <c r="I26" s="37">
        <f t="shared" si="0"/>
        <v>-26</v>
      </c>
      <c r="J26" s="27" t="s">
        <v>63</v>
      </c>
    </row>
    <row r="27" spans="1:10">
      <c r="A27" s="27" t="s">
        <v>349</v>
      </c>
      <c r="B27" s="27" t="s">
        <v>33</v>
      </c>
      <c r="C27" s="27" t="s">
        <v>38</v>
      </c>
      <c r="D27" s="27"/>
      <c r="E27" s="35">
        <v>6</v>
      </c>
      <c r="F27" s="27">
        <v>481</v>
      </c>
      <c r="G27" s="27">
        <v>481</v>
      </c>
      <c r="H27" s="37">
        <f t="shared" si="1"/>
        <v>40</v>
      </c>
      <c r="I27" s="37">
        <f t="shared" si="0"/>
        <v>441</v>
      </c>
      <c r="J27" s="27" t="s">
        <v>63</v>
      </c>
    </row>
    <row r="28" spans="1:10">
      <c r="A28" s="42" t="s">
        <v>367</v>
      </c>
      <c r="B28" s="27" t="s">
        <v>33</v>
      </c>
      <c r="C28" s="27" t="s">
        <v>38</v>
      </c>
      <c r="D28" s="27"/>
      <c r="E28" s="35">
        <v>8</v>
      </c>
      <c r="F28">
        <v>160</v>
      </c>
      <c r="G28">
        <v>160</v>
      </c>
      <c r="H28" s="37">
        <f t="shared" si="1"/>
        <v>50</v>
      </c>
      <c r="I28" s="37">
        <f t="shared" si="0"/>
        <v>110</v>
      </c>
      <c r="J28" s="37" t="s">
        <v>63</v>
      </c>
    </row>
    <row r="29" spans="1:10">
      <c r="A29" s="42" t="s">
        <v>373</v>
      </c>
      <c r="B29" s="27" t="s">
        <v>33</v>
      </c>
      <c r="C29" s="27" t="s">
        <v>38</v>
      </c>
      <c r="D29" s="27"/>
      <c r="E29" s="35">
        <v>5</v>
      </c>
      <c r="F29">
        <v>19</v>
      </c>
      <c r="G29">
        <v>19</v>
      </c>
      <c r="H29" s="37">
        <f t="shared" si="1"/>
        <v>35</v>
      </c>
      <c r="I29" s="37">
        <f t="shared" si="0"/>
        <v>-16</v>
      </c>
      <c r="J29" s="37" t="s">
        <v>52</v>
      </c>
    </row>
    <row r="30" ht="16" spans="1:10">
      <c r="A30" s="42" t="s">
        <v>385</v>
      </c>
      <c r="B30" s="27" t="s">
        <v>33</v>
      </c>
      <c r="C30" s="27" t="s">
        <v>38</v>
      </c>
      <c r="D30" s="27"/>
      <c r="E30" s="35">
        <v>4</v>
      </c>
      <c r="F30">
        <v>14</v>
      </c>
      <c r="G30">
        <v>14</v>
      </c>
      <c r="H30" s="37">
        <f t="shared" si="1"/>
        <v>30</v>
      </c>
      <c r="I30" s="37">
        <f t="shared" si="0"/>
        <v>-16</v>
      </c>
      <c r="J30" s="37" t="s">
        <v>63</v>
      </c>
    </row>
    <row r="31" spans="1:10">
      <c r="A31" s="42" t="s">
        <v>391</v>
      </c>
      <c r="B31" s="27" t="s">
        <v>33</v>
      </c>
      <c r="C31" s="27" t="s">
        <v>38</v>
      </c>
      <c r="D31" s="27"/>
      <c r="E31" s="35">
        <v>7</v>
      </c>
      <c r="F31">
        <v>0</v>
      </c>
      <c r="H31" s="37">
        <f t="shared" si="1"/>
        <v>45</v>
      </c>
      <c r="I31" s="37">
        <f t="shared" si="0"/>
        <v>-45</v>
      </c>
      <c r="J31" s="37" t="s">
        <v>63</v>
      </c>
    </row>
    <row r="32" spans="1:10">
      <c r="A32" s="42" t="s">
        <v>397</v>
      </c>
      <c r="B32" s="27" t="s">
        <v>33</v>
      </c>
      <c r="C32" s="27" t="s">
        <v>38</v>
      </c>
      <c r="D32" s="27"/>
      <c r="E32" s="35">
        <v>25</v>
      </c>
      <c r="F32">
        <v>64</v>
      </c>
      <c r="G32">
        <v>64</v>
      </c>
      <c r="H32" s="37">
        <f t="shared" si="1"/>
        <v>135</v>
      </c>
      <c r="I32" s="37">
        <f t="shared" si="0"/>
        <v>-71</v>
      </c>
      <c r="J32" s="37" t="s">
        <v>52</v>
      </c>
    </row>
    <row r="33" spans="1:10">
      <c r="A33" s="27" t="s">
        <v>436</v>
      </c>
      <c r="B33" s="27" t="s">
        <v>438</v>
      </c>
      <c r="C33" s="27" t="s">
        <v>442</v>
      </c>
      <c r="D33" s="27" t="s">
        <v>447</v>
      </c>
      <c r="E33" s="35">
        <v>11</v>
      </c>
      <c r="F33">
        <v>74</v>
      </c>
      <c r="G33">
        <v>74</v>
      </c>
      <c r="H33" s="37">
        <f t="shared" si="1"/>
        <v>65</v>
      </c>
      <c r="I33" s="37">
        <f t="shared" si="0"/>
        <v>9</v>
      </c>
      <c r="J33" s="37" t="s">
        <v>63</v>
      </c>
    </row>
    <row r="34" spans="1:10">
      <c r="A34" s="27" t="s">
        <v>436</v>
      </c>
      <c r="B34" s="27" t="s">
        <v>438</v>
      </c>
      <c r="C34" s="27" t="s">
        <v>442</v>
      </c>
      <c r="D34" s="27" t="s">
        <v>458</v>
      </c>
      <c r="E34" s="35">
        <v>9</v>
      </c>
      <c r="F34" s="40">
        <v>112</v>
      </c>
      <c r="G34" s="40">
        <v>112</v>
      </c>
      <c r="H34" s="37">
        <f t="shared" si="1"/>
        <v>55</v>
      </c>
      <c r="I34" s="37">
        <f t="shared" si="0"/>
        <v>57</v>
      </c>
      <c r="J34" s="37" t="s">
        <v>63</v>
      </c>
    </row>
    <row r="35" spans="1:10">
      <c r="A35" s="27" t="s">
        <v>436</v>
      </c>
      <c r="B35" s="27" t="s">
        <v>438</v>
      </c>
      <c r="C35" s="27" t="s">
        <v>442</v>
      </c>
      <c r="D35" s="27" t="s">
        <v>470</v>
      </c>
      <c r="E35" s="35">
        <v>6</v>
      </c>
      <c r="F35">
        <v>7</v>
      </c>
      <c r="G35">
        <v>7</v>
      </c>
      <c r="H35" s="37">
        <f t="shared" si="1"/>
        <v>40</v>
      </c>
      <c r="I35" s="37">
        <f t="shared" ref="I35:I67" si="2">F35-H35</f>
        <v>-33</v>
      </c>
      <c r="J35" s="37" t="s">
        <v>63</v>
      </c>
    </row>
    <row r="36" spans="1:10">
      <c r="A36" s="42" t="s">
        <v>476</v>
      </c>
      <c r="B36" s="27" t="s">
        <v>438</v>
      </c>
      <c r="C36" s="27" t="s">
        <v>442</v>
      </c>
      <c r="D36" s="27"/>
      <c r="E36" s="35">
        <v>34</v>
      </c>
      <c r="F36">
        <v>798</v>
      </c>
      <c r="G36">
        <v>798</v>
      </c>
      <c r="H36" s="37">
        <f t="shared" si="1"/>
        <v>180</v>
      </c>
      <c r="I36" s="37">
        <f t="shared" si="2"/>
        <v>618</v>
      </c>
      <c r="J36" s="37" t="s">
        <v>52</v>
      </c>
    </row>
    <row r="37" spans="1:10">
      <c r="A37" s="42" t="s">
        <v>491</v>
      </c>
      <c r="B37" s="27" t="s">
        <v>438</v>
      </c>
      <c r="C37" s="27" t="s">
        <v>442</v>
      </c>
      <c r="D37" s="27"/>
      <c r="E37" s="35">
        <v>6</v>
      </c>
      <c r="F37">
        <v>14</v>
      </c>
      <c r="G37">
        <v>14</v>
      </c>
      <c r="H37" s="37">
        <f t="shared" ref="H37:H69" si="3">5*E37+10</f>
        <v>40</v>
      </c>
      <c r="I37" s="37">
        <f t="shared" si="2"/>
        <v>-26</v>
      </c>
      <c r="J37" s="37" t="s">
        <v>63</v>
      </c>
    </row>
    <row r="38" spans="1:10">
      <c r="A38" s="42" t="s">
        <v>513</v>
      </c>
      <c r="B38" s="27" t="s">
        <v>33</v>
      </c>
      <c r="C38" s="27" t="s">
        <v>38</v>
      </c>
      <c r="D38" s="27"/>
      <c r="E38" s="35">
        <v>15</v>
      </c>
      <c r="F38">
        <v>44</v>
      </c>
      <c r="G38">
        <v>44</v>
      </c>
      <c r="H38" s="37">
        <f t="shared" si="3"/>
        <v>85</v>
      </c>
      <c r="I38" s="37">
        <f t="shared" si="2"/>
        <v>-41</v>
      </c>
      <c r="J38" s="37" t="s">
        <v>63</v>
      </c>
    </row>
    <row r="39" spans="1:10">
      <c r="A39" s="42" t="s">
        <v>513</v>
      </c>
      <c r="B39" s="27" t="s">
        <v>520</v>
      </c>
      <c r="C39" s="27" t="s">
        <v>523</v>
      </c>
      <c r="D39" s="27"/>
      <c r="E39" s="35">
        <v>13</v>
      </c>
      <c r="F39">
        <v>107</v>
      </c>
      <c r="G39">
        <v>107</v>
      </c>
      <c r="H39" s="37">
        <f t="shared" si="3"/>
        <v>75</v>
      </c>
      <c r="I39" s="37">
        <f t="shared" si="2"/>
        <v>32</v>
      </c>
      <c r="J39" s="37" t="s">
        <v>63</v>
      </c>
    </row>
    <row r="40" spans="1:10">
      <c r="A40" s="27" t="s">
        <v>535</v>
      </c>
      <c r="B40" s="27" t="s">
        <v>33</v>
      </c>
      <c r="C40" s="27" t="s">
        <v>38</v>
      </c>
      <c r="D40" s="27"/>
      <c r="E40" s="35">
        <v>26</v>
      </c>
      <c r="F40" s="40">
        <v>731</v>
      </c>
      <c r="G40" s="40">
        <v>731</v>
      </c>
      <c r="H40" s="37">
        <f t="shared" si="3"/>
        <v>140</v>
      </c>
      <c r="I40" s="37">
        <f t="shared" si="2"/>
        <v>591</v>
      </c>
      <c r="J40" s="27" t="s">
        <v>52</v>
      </c>
    </row>
    <row r="41" spans="1:10">
      <c r="A41" s="27" t="s">
        <v>535</v>
      </c>
      <c r="B41" s="27" t="s">
        <v>55</v>
      </c>
      <c r="C41" s="27" t="s">
        <v>59</v>
      </c>
      <c r="D41" s="27"/>
      <c r="E41" s="35">
        <v>11</v>
      </c>
      <c r="F41" s="40">
        <v>92</v>
      </c>
      <c r="G41" s="40">
        <v>92</v>
      </c>
      <c r="H41" s="37">
        <f t="shared" si="3"/>
        <v>65</v>
      </c>
      <c r="I41" s="37">
        <f t="shared" si="2"/>
        <v>27</v>
      </c>
      <c r="J41" s="27" t="s">
        <v>63</v>
      </c>
    </row>
    <row r="42" spans="1:10">
      <c r="A42" s="58" t="s">
        <v>561</v>
      </c>
      <c r="B42" s="34" t="s">
        <v>568</v>
      </c>
      <c r="C42" s="34" t="s">
        <v>571</v>
      </c>
      <c r="D42" s="27"/>
      <c r="E42" s="35">
        <v>21</v>
      </c>
      <c r="F42" s="40">
        <v>5204</v>
      </c>
      <c r="G42" s="40">
        <v>5204</v>
      </c>
      <c r="H42" s="37">
        <f t="shared" si="3"/>
        <v>115</v>
      </c>
      <c r="I42" s="37">
        <f t="shared" si="2"/>
        <v>5089</v>
      </c>
      <c r="J42" s="27" t="s">
        <v>52</v>
      </c>
    </row>
    <row r="43" spans="1:10">
      <c r="A43" s="58" t="s">
        <v>574</v>
      </c>
      <c r="B43" s="28" t="s">
        <v>556</v>
      </c>
      <c r="C43" s="27" t="s">
        <v>558</v>
      </c>
      <c r="D43" s="27"/>
      <c r="E43" s="35">
        <v>8</v>
      </c>
      <c r="F43" s="40">
        <v>73</v>
      </c>
      <c r="G43" s="40">
        <v>73</v>
      </c>
      <c r="H43" s="37">
        <f t="shared" si="3"/>
        <v>50</v>
      </c>
      <c r="I43" s="37">
        <f t="shared" si="2"/>
        <v>23</v>
      </c>
      <c r="J43" s="37" t="s">
        <v>63</v>
      </c>
    </row>
    <row r="44" spans="1:10">
      <c r="A44" s="27" t="s">
        <v>586</v>
      </c>
      <c r="B44" s="27" t="s">
        <v>33</v>
      </c>
      <c r="C44" s="27" t="s">
        <v>38</v>
      </c>
      <c r="D44" s="27"/>
      <c r="E44" s="35">
        <v>12</v>
      </c>
      <c r="F44" s="40">
        <v>372</v>
      </c>
      <c r="G44" s="40">
        <v>372</v>
      </c>
      <c r="H44" s="37">
        <f t="shared" si="3"/>
        <v>70</v>
      </c>
      <c r="I44" s="37">
        <f t="shared" si="2"/>
        <v>302</v>
      </c>
      <c r="J44" s="27" t="s">
        <v>52</v>
      </c>
    </row>
    <row r="45" spans="1:10">
      <c r="A45" s="27" t="s">
        <v>586</v>
      </c>
      <c r="B45" s="27" t="s">
        <v>55</v>
      </c>
      <c r="C45" s="27" t="s">
        <v>59</v>
      </c>
      <c r="D45" s="27"/>
      <c r="E45" s="35">
        <v>6</v>
      </c>
      <c r="F45" s="40">
        <v>82</v>
      </c>
      <c r="G45" s="40">
        <v>82</v>
      </c>
      <c r="H45" s="37">
        <f t="shared" si="3"/>
        <v>40</v>
      </c>
      <c r="I45" s="37">
        <f t="shared" si="2"/>
        <v>42</v>
      </c>
      <c r="J45" s="27" t="s">
        <v>52</v>
      </c>
    </row>
    <row r="46" spans="1:10">
      <c r="A46" s="27" t="s">
        <v>586</v>
      </c>
      <c r="B46" s="34" t="s">
        <v>568</v>
      </c>
      <c r="C46" s="34" t="s">
        <v>571</v>
      </c>
      <c r="D46" s="27"/>
      <c r="E46" s="55">
        <v>11</v>
      </c>
      <c r="F46" s="40">
        <v>1879</v>
      </c>
      <c r="G46" s="40">
        <v>1879</v>
      </c>
      <c r="H46" s="37">
        <f t="shared" si="3"/>
        <v>65</v>
      </c>
      <c r="I46" s="37">
        <f t="shared" si="2"/>
        <v>1814</v>
      </c>
      <c r="J46" s="27" t="s">
        <v>52</v>
      </c>
    </row>
    <row r="47" spans="1:10">
      <c r="A47" s="27" t="s">
        <v>614</v>
      </c>
      <c r="B47" s="27" t="s">
        <v>500</v>
      </c>
      <c r="C47" s="27" t="s">
        <v>618</v>
      </c>
      <c r="D47" s="27"/>
      <c r="E47" s="35">
        <v>12</v>
      </c>
      <c r="F47" s="40">
        <v>160</v>
      </c>
      <c r="G47" s="40">
        <v>160</v>
      </c>
      <c r="H47" s="37">
        <f t="shared" si="3"/>
        <v>70</v>
      </c>
      <c r="I47" s="37">
        <f t="shared" si="2"/>
        <v>90</v>
      </c>
      <c r="J47" s="27" t="s">
        <v>63</v>
      </c>
    </row>
    <row r="48" spans="1:10">
      <c r="A48" s="42" t="s">
        <v>622</v>
      </c>
      <c r="B48" s="28" t="s">
        <v>33</v>
      </c>
      <c r="C48" s="27" t="s">
        <v>38</v>
      </c>
      <c r="D48" s="27"/>
      <c r="E48" s="35">
        <v>7</v>
      </c>
      <c r="F48">
        <v>90</v>
      </c>
      <c r="G48">
        <v>90</v>
      </c>
      <c r="H48" s="37">
        <f t="shared" si="3"/>
        <v>45</v>
      </c>
      <c r="I48" s="37">
        <f t="shared" si="2"/>
        <v>45</v>
      </c>
      <c r="J48" s="37" t="s">
        <v>52</v>
      </c>
    </row>
    <row r="49" spans="1:10">
      <c r="A49" s="42" t="s">
        <v>635</v>
      </c>
      <c r="B49" s="28" t="s">
        <v>562</v>
      </c>
      <c r="C49" s="27" t="s">
        <v>565</v>
      </c>
      <c r="D49" s="27"/>
      <c r="E49" s="35">
        <v>6</v>
      </c>
      <c r="F49">
        <v>0</v>
      </c>
      <c r="H49" s="37">
        <f t="shared" si="3"/>
        <v>40</v>
      </c>
      <c r="I49" s="37">
        <f t="shared" si="2"/>
        <v>-40</v>
      </c>
      <c r="J49" s="37" t="s">
        <v>63</v>
      </c>
    </row>
    <row r="50" spans="1:10">
      <c r="A50" s="42" t="s">
        <v>643</v>
      </c>
      <c r="B50" s="28" t="s">
        <v>438</v>
      </c>
      <c r="C50" s="27" t="s">
        <v>442</v>
      </c>
      <c r="D50" s="27"/>
      <c r="E50" s="35">
        <v>15</v>
      </c>
      <c r="F50">
        <v>1237</v>
      </c>
      <c r="G50">
        <v>1237</v>
      </c>
      <c r="H50" s="37">
        <f t="shared" si="3"/>
        <v>85</v>
      </c>
      <c r="I50" s="37">
        <f t="shared" si="2"/>
        <v>1152</v>
      </c>
      <c r="J50" s="37" t="s">
        <v>63</v>
      </c>
    </row>
    <row r="51" spans="1:10">
      <c r="A51" s="42" t="s">
        <v>678</v>
      </c>
      <c r="B51" s="28" t="s">
        <v>680</v>
      </c>
      <c r="C51" s="27" t="s">
        <v>684</v>
      </c>
      <c r="D51" s="27"/>
      <c r="E51" s="35">
        <v>63</v>
      </c>
      <c r="F51">
        <v>1556</v>
      </c>
      <c r="G51">
        <v>1556</v>
      </c>
      <c r="H51" s="37">
        <f t="shared" si="3"/>
        <v>325</v>
      </c>
      <c r="I51" s="37">
        <f t="shared" si="2"/>
        <v>1231</v>
      </c>
      <c r="J51" s="37" t="s">
        <v>52</v>
      </c>
    </row>
    <row r="52" spans="1:10">
      <c r="A52" s="42" t="s">
        <v>688</v>
      </c>
      <c r="B52" s="27" t="s">
        <v>438</v>
      </c>
      <c r="C52" s="27" t="s">
        <v>442</v>
      </c>
      <c r="D52" s="59"/>
      <c r="E52" s="35">
        <v>6</v>
      </c>
      <c r="F52">
        <v>214</v>
      </c>
      <c r="G52">
        <v>214</v>
      </c>
      <c r="H52" s="37">
        <f t="shared" si="3"/>
        <v>40</v>
      </c>
      <c r="I52" s="37">
        <f t="shared" si="2"/>
        <v>174</v>
      </c>
      <c r="J52" s="37" t="s">
        <v>63</v>
      </c>
    </row>
    <row r="53" customFormat="1" spans="1:10">
      <c r="A53" s="42" t="s">
        <v>702</v>
      </c>
      <c r="B53" s="27" t="s">
        <v>438</v>
      </c>
      <c r="C53" s="27" t="s">
        <v>442</v>
      </c>
      <c r="D53" s="27" t="s">
        <v>67</v>
      </c>
      <c r="E53" s="35">
        <v>52</v>
      </c>
      <c r="F53" s="40">
        <v>1484</v>
      </c>
      <c r="G53" s="40">
        <v>1484</v>
      </c>
      <c r="H53" s="27">
        <f t="shared" si="3"/>
        <v>270</v>
      </c>
      <c r="I53" s="27">
        <f t="shared" si="2"/>
        <v>1214</v>
      </c>
      <c r="J53" s="27" t="s">
        <v>111</v>
      </c>
    </row>
    <row r="54" spans="1:10">
      <c r="A54" s="42" t="s">
        <v>709</v>
      </c>
      <c r="B54" s="27" t="s">
        <v>438</v>
      </c>
      <c r="C54" s="27" t="s">
        <v>442</v>
      </c>
      <c r="D54" s="27" t="s">
        <v>67</v>
      </c>
      <c r="E54" s="35">
        <v>21</v>
      </c>
      <c r="F54">
        <v>378</v>
      </c>
      <c r="G54">
        <v>378</v>
      </c>
      <c r="H54" s="37">
        <f t="shared" si="3"/>
        <v>115</v>
      </c>
      <c r="I54" s="37">
        <f t="shared" si="2"/>
        <v>263</v>
      </c>
      <c r="J54" s="37" t="s">
        <v>52</v>
      </c>
    </row>
    <row r="55" spans="1:10">
      <c r="A55" s="42" t="s">
        <v>727</v>
      </c>
      <c r="B55" s="34" t="s">
        <v>742</v>
      </c>
      <c r="C55" s="34" t="s">
        <v>745</v>
      </c>
      <c r="D55" s="27"/>
      <c r="E55" s="35">
        <v>18</v>
      </c>
      <c r="F55">
        <v>90</v>
      </c>
      <c r="G55">
        <v>90</v>
      </c>
      <c r="H55" s="37">
        <f t="shared" si="3"/>
        <v>100</v>
      </c>
      <c r="I55" s="37">
        <f t="shared" si="2"/>
        <v>-10</v>
      </c>
      <c r="J55" s="37" t="s">
        <v>52</v>
      </c>
    </row>
    <row r="56" spans="1:10">
      <c r="A56" s="42" t="s">
        <v>748</v>
      </c>
      <c r="B56" s="27" t="s">
        <v>757</v>
      </c>
      <c r="C56" s="27" t="s">
        <v>59</v>
      </c>
      <c r="D56" s="27" t="s">
        <v>758</v>
      </c>
      <c r="E56" s="35">
        <v>5</v>
      </c>
      <c r="F56">
        <v>18</v>
      </c>
      <c r="G56">
        <v>18</v>
      </c>
      <c r="H56" s="37">
        <f t="shared" si="3"/>
        <v>35</v>
      </c>
      <c r="I56" s="37">
        <f t="shared" si="2"/>
        <v>-17</v>
      </c>
      <c r="J56" s="37" t="s">
        <v>63</v>
      </c>
    </row>
    <row r="57" spans="1:10">
      <c r="A57" s="42" t="s">
        <v>779</v>
      </c>
      <c r="B57" s="27" t="s">
        <v>438</v>
      </c>
      <c r="C57" s="27" t="s">
        <v>783</v>
      </c>
      <c r="D57" s="27"/>
      <c r="E57" s="35">
        <v>14</v>
      </c>
      <c r="F57" s="7">
        <v>17</v>
      </c>
      <c r="G57" s="7">
        <v>17</v>
      </c>
      <c r="H57" s="37">
        <f t="shared" si="3"/>
        <v>80</v>
      </c>
      <c r="I57" s="37">
        <f t="shared" si="2"/>
        <v>-63</v>
      </c>
      <c r="J57" s="37" t="s">
        <v>63</v>
      </c>
    </row>
    <row r="58" spans="1:10">
      <c r="A58" s="42" t="s">
        <v>821</v>
      </c>
      <c r="B58" s="27" t="s">
        <v>438</v>
      </c>
      <c r="C58" s="27" t="s">
        <v>442</v>
      </c>
      <c r="D58" s="27"/>
      <c r="E58" s="35">
        <v>17</v>
      </c>
      <c r="F58" s="7">
        <v>1159</v>
      </c>
      <c r="G58" s="7">
        <v>1159</v>
      </c>
      <c r="H58" s="37">
        <f t="shared" si="3"/>
        <v>95</v>
      </c>
      <c r="I58" s="37">
        <f t="shared" si="2"/>
        <v>1064</v>
      </c>
      <c r="J58" s="37" t="s">
        <v>63</v>
      </c>
    </row>
    <row r="59" spans="1:10">
      <c r="A59" s="27" t="s">
        <v>828</v>
      </c>
      <c r="B59" s="27" t="s">
        <v>438</v>
      </c>
      <c r="C59" s="27" t="s">
        <v>442</v>
      </c>
      <c r="D59" s="27" t="s">
        <v>67</v>
      </c>
      <c r="E59" s="35">
        <v>4</v>
      </c>
      <c r="F59">
        <v>10</v>
      </c>
      <c r="G59">
        <v>10</v>
      </c>
      <c r="H59" s="37">
        <f t="shared" si="3"/>
        <v>30</v>
      </c>
      <c r="I59" s="37">
        <f t="shared" si="2"/>
        <v>-20</v>
      </c>
      <c r="J59" s="37" t="s">
        <v>63</v>
      </c>
    </row>
    <row r="60" spans="1:10">
      <c r="A60" s="27" t="s">
        <v>828</v>
      </c>
      <c r="B60" s="27" t="s">
        <v>438</v>
      </c>
      <c r="C60" s="27" t="s">
        <v>442</v>
      </c>
      <c r="D60" s="27" t="s">
        <v>846</v>
      </c>
      <c r="E60" s="35">
        <v>4</v>
      </c>
      <c r="F60">
        <v>18</v>
      </c>
      <c r="G60">
        <v>18</v>
      </c>
      <c r="H60" s="37">
        <f t="shared" si="3"/>
        <v>30</v>
      </c>
      <c r="I60" s="37">
        <f t="shared" si="2"/>
        <v>-12</v>
      </c>
      <c r="J60" s="37" t="s">
        <v>63</v>
      </c>
    </row>
    <row r="61" spans="1:10">
      <c r="A61" s="42" t="s">
        <v>855</v>
      </c>
      <c r="B61" s="27" t="s">
        <v>438</v>
      </c>
      <c r="C61" s="27" t="s">
        <v>442</v>
      </c>
      <c r="D61" s="27"/>
      <c r="E61" s="35">
        <v>4</v>
      </c>
      <c r="F61" s="7">
        <v>9</v>
      </c>
      <c r="G61" s="7">
        <v>9</v>
      </c>
      <c r="H61" s="37">
        <f t="shared" si="3"/>
        <v>30</v>
      </c>
      <c r="I61" s="37">
        <f t="shared" si="2"/>
        <v>-21</v>
      </c>
      <c r="J61" s="37" t="s">
        <v>63</v>
      </c>
    </row>
    <row r="62" spans="1:10">
      <c r="A62" s="42" t="s">
        <v>869</v>
      </c>
      <c r="B62" s="27" t="s">
        <v>55</v>
      </c>
      <c r="C62" s="27" t="s">
        <v>59</v>
      </c>
      <c r="D62" s="27"/>
      <c r="E62" s="35">
        <v>14</v>
      </c>
      <c r="F62" s="40">
        <v>21</v>
      </c>
      <c r="G62" s="40">
        <v>21</v>
      </c>
      <c r="H62" s="37">
        <f t="shared" si="3"/>
        <v>80</v>
      </c>
      <c r="I62" s="37">
        <f t="shared" si="2"/>
        <v>-59</v>
      </c>
      <c r="J62" s="37" t="s">
        <v>63</v>
      </c>
    </row>
    <row r="63" spans="1:10">
      <c r="A63" s="42" t="s">
        <v>883</v>
      </c>
      <c r="B63" s="27" t="s">
        <v>438</v>
      </c>
      <c r="C63" s="27" t="s">
        <v>442</v>
      </c>
      <c r="D63" s="27"/>
      <c r="E63" s="35">
        <v>14</v>
      </c>
      <c r="F63">
        <v>220</v>
      </c>
      <c r="G63">
        <v>220</v>
      </c>
      <c r="H63" s="37">
        <f t="shared" si="3"/>
        <v>80</v>
      </c>
      <c r="I63" s="37">
        <f t="shared" si="2"/>
        <v>140</v>
      </c>
      <c r="J63" s="37" t="s">
        <v>52</v>
      </c>
    </row>
    <row r="64" spans="1:10">
      <c r="A64" s="42" t="s">
        <v>889</v>
      </c>
      <c r="B64" s="27" t="s">
        <v>438</v>
      </c>
      <c r="C64" s="27" t="s">
        <v>442</v>
      </c>
      <c r="D64" s="27"/>
      <c r="E64" s="35">
        <v>12</v>
      </c>
      <c r="F64">
        <v>28</v>
      </c>
      <c r="G64">
        <v>28</v>
      </c>
      <c r="H64" s="37">
        <f t="shared" si="3"/>
        <v>70</v>
      </c>
      <c r="I64" s="37">
        <f t="shared" si="2"/>
        <v>-42</v>
      </c>
      <c r="J64" s="37" t="s">
        <v>63</v>
      </c>
    </row>
    <row r="65" spans="1:10">
      <c r="A65" s="42" t="s">
        <v>916</v>
      </c>
      <c r="B65" s="27" t="s">
        <v>33</v>
      </c>
      <c r="C65" s="27" t="s">
        <v>38</v>
      </c>
      <c r="D65" s="27"/>
      <c r="E65" s="35">
        <v>23</v>
      </c>
      <c r="F65" s="40">
        <v>514</v>
      </c>
      <c r="G65" s="40">
        <v>514</v>
      </c>
      <c r="H65" s="37">
        <f t="shared" si="3"/>
        <v>125</v>
      </c>
      <c r="I65" s="37">
        <f t="shared" si="2"/>
        <v>389</v>
      </c>
      <c r="J65" s="37" t="s">
        <v>52</v>
      </c>
    </row>
    <row r="66" spans="1:10">
      <c r="A66" s="42" t="s">
        <v>916</v>
      </c>
      <c r="B66" s="27" t="s">
        <v>562</v>
      </c>
      <c r="C66" s="27" t="s">
        <v>932</v>
      </c>
      <c r="D66" s="27"/>
      <c r="E66" s="35">
        <v>8</v>
      </c>
      <c r="F66" s="7">
        <v>146</v>
      </c>
      <c r="G66" s="7">
        <v>146</v>
      </c>
      <c r="H66" s="37">
        <f t="shared" si="3"/>
        <v>50</v>
      </c>
      <c r="I66" s="37">
        <f t="shared" si="2"/>
        <v>96</v>
      </c>
      <c r="J66" s="37" t="s">
        <v>52</v>
      </c>
    </row>
    <row r="67" spans="1:10">
      <c r="A67" s="27" t="s">
        <v>936</v>
      </c>
      <c r="B67" s="27" t="s">
        <v>33</v>
      </c>
      <c r="C67" s="27" t="s">
        <v>38</v>
      </c>
      <c r="D67" s="27" t="s">
        <v>944</v>
      </c>
      <c r="E67" s="35">
        <v>6</v>
      </c>
      <c r="F67">
        <v>435</v>
      </c>
      <c r="G67">
        <v>435</v>
      </c>
      <c r="H67" s="37">
        <f t="shared" si="3"/>
        <v>40</v>
      </c>
      <c r="I67" s="37">
        <f t="shared" si="2"/>
        <v>395</v>
      </c>
      <c r="J67" s="37" t="s">
        <v>52</v>
      </c>
    </row>
    <row r="68" spans="1:10">
      <c r="A68" s="27" t="s">
        <v>936</v>
      </c>
      <c r="B68" s="27" t="s">
        <v>33</v>
      </c>
      <c r="C68" s="27" t="s">
        <v>38</v>
      </c>
      <c r="D68" s="27" t="s">
        <v>951</v>
      </c>
      <c r="E68" s="35">
        <v>6</v>
      </c>
      <c r="F68">
        <v>753</v>
      </c>
      <c r="G68">
        <v>753</v>
      </c>
      <c r="H68" s="37">
        <f t="shared" si="3"/>
        <v>40</v>
      </c>
      <c r="I68" s="37">
        <f t="shared" ref="I68:I107" si="4">F68-H68</f>
        <v>713</v>
      </c>
      <c r="J68" s="37" t="s">
        <v>63</v>
      </c>
    </row>
    <row r="69" spans="1:10">
      <c r="A69" s="27" t="s">
        <v>936</v>
      </c>
      <c r="B69" s="27" t="s">
        <v>55</v>
      </c>
      <c r="C69" s="27" t="s">
        <v>59</v>
      </c>
      <c r="D69" s="27"/>
      <c r="E69" s="35">
        <v>7</v>
      </c>
      <c r="F69" s="7">
        <v>13</v>
      </c>
      <c r="G69" s="7">
        <v>13</v>
      </c>
      <c r="H69" s="37">
        <f t="shared" si="3"/>
        <v>45</v>
      </c>
      <c r="I69" s="37">
        <f t="shared" si="4"/>
        <v>-32</v>
      </c>
      <c r="J69" s="37" t="s">
        <v>63</v>
      </c>
    </row>
    <row r="70" spans="1:10">
      <c r="A70" s="27" t="s">
        <v>936</v>
      </c>
      <c r="B70" s="28" t="s">
        <v>562</v>
      </c>
      <c r="C70" s="27" t="s">
        <v>565</v>
      </c>
      <c r="D70" s="59"/>
      <c r="E70" s="35">
        <v>9</v>
      </c>
      <c r="F70" s="7">
        <v>146</v>
      </c>
      <c r="G70" s="7">
        <v>146</v>
      </c>
      <c r="H70" s="37">
        <f t="shared" ref="H70:H107" si="5">5*E70+10</f>
        <v>55</v>
      </c>
      <c r="I70" s="37">
        <f t="shared" si="4"/>
        <v>91</v>
      </c>
      <c r="J70" s="37" t="s">
        <v>52</v>
      </c>
    </row>
    <row r="71" spans="1:10">
      <c r="A71" s="42" t="s">
        <v>977</v>
      </c>
      <c r="B71" s="27" t="s">
        <v>438</v>
      </c>
      <c r="C71" s="27" t="s">
        <v>442</v>
      </c>
      <c r="D71" s="27" t="s">
        <v>990</v>
      </c>
      <c r="E71" s="35">
        <v>2</v>
      </c>
      <c r="F71">
        <v>190</v>
      </c>
      <c r="G71">
        <v>190</v>
      </c>
      <c r="H71" s="37">
        <f t="shared" si="5"/>
        <v>20</v>
      </c>
      <c r="I71" s="37">
        <f t="shared" si="4"/>
        <v>170</v>
      </c>
      <c r="J71" s="37" t="s">
        <v>52</v>
      </c>
    </row>
    <row r="72" spans="1:10">
      <c r="A72" s="42" t="s">
        <v>977</v>
      </c>
      <c r="B72" s="27" t="s">
        <v>438</v>
      </c>
      <c r="C72" s="27" t="s">
        <v>442</v>
      </c>
      <c r="D72" s="27" t="s">
        <v>995</v>
      </c>
      <c r="E72" s="35">
        <v>2</v>
      </c>
      <c r="F72">
        <v>13</v>
      </c>
      <c r="G72">
        <v>13</v>
      </c>
      <c r="H72" s="37">
        <f t="shared" si="5"/>
        <v>20</v>
      </c>
      <c r="I72" s="37">
        <f t="shared" si="4"/>
        <v>-7</v>
      </c>
      <c r="J72" s="37" t="s">
        <v>63</v>
      </c>
    </row>
    <row r="73" spans="1:10">
      <c r="A73" s="42" t="s">
        <v>977</v>
      </c>
      <c r="B73" s="27" t="s">
        <v>438</v>
      </c>
      <c r="C73" s="27" t="s">
        <v>442</v>
      </c>
      <c r="D73" s="27" t="s">
        <v>1000</v>
      </c>
      <c r="E73" s="35">
        <v>2</v>
      </c>
      <c r="F73">
        <v>76</v>
      </c>
      <c r="G73">
        <v>76</v>
      </c>
      <c r="H73" s="37">
        <f t="shared" si="5"/>
        <v>20</v>
      </c>
      <c r="I73" s="37">
        <f t="shared" si="4"/>
        <v>56</v>
      </c>
      <c r="J73" s="37" t="s">
        <v>52</v>
      </c>
    </row>
    <row r="74" spans="1:10">
      <c r="A74" s="42" t="s">
        <v>977</v>
      </c>
      <c r="B74" s="27" t="s">
        <v>438</v>
      </c>
      <c r="C74" s="27" t="s">
        <v>442</v>
      </c>
      <c r="D74" s="27" t="s">
        <v>1005</v>
      </c>
      <c r="E74" s="35">
        <v>2</v>
      </c>
      <c r="F74">
        <v>35</v>
      </c>
      <c r="G74">
        <v>35</v>
      </c>
      <c r="H74" s="37">
        <f t="shared" si="5"/>
        <v>20</v>
      </c>
      <c r="I74" s="37">
        <f t="shared" si="4"/>
        <v>15</v>
      </c>
      <c r="J74" s="37" t="s">
        <v>63</v>
      </c>
    </row>
    <row r="75" spans="1:10">
      <c r="A75" s="42" t="s">
        <v>977</v>
      </c>
      <c r="B75" s="27" t="s">
        <v>438</v>
      </c>
      <c r="C75" s="27" t="s">
        <v>442</v>
      </c>
      <c r="D75" s="27" t="s">
        <v>1010</v>
      </c>
      <c r="E75" s="35">
        <v>2</v>
      </c>
      <c r="F75">
        <v>209</v>
      </c>
      <c r="G75">
        <v>209</v>
      </c>
      <c r="H75" s="37">
        <f t="shared" si="5"/>
        <v>20</v>
      </c>
      <c r="I75" s="37">
        <f t="shared" si="4"/>
        <v>189</v>
      </c>
      <c r="J75" s="37" t="s">
        <v>63</v>
      </c>
    </row>
    <row r="76" spans="1:10">
      <c r="A76" s="42" t="s">
        <v>1015</v>
      </c>
      <c r="B76" s="27" t="s">
        <v>562</v>
      </c>
      <c r="C76" s="27" t="s">
        <v>932</v>
      </c>
      <c r="D76" s="27"/>
      <c r="E76" s="35">
        <v>2</v>
      </c>
      <c r="F76" s="48">
        <v>4</v>
      </c>
      <c r="G76" s="48">
        <v>4</v>
      </c>
      <c r="H76" s="37">
        <f t="shared" si="5"/>
        <v>20</v>
      </c>
      <c r="I76" s="37">
        <f t="shared" si="4"/>
        <v>-16</v>
      </c>
      <c r="J76" s="37" t="s">
        <v>63</v>
      </c>
    </row>
    <row r="77" spans="1:10">
      <c r="A77" s="42" t="s">
        <v>1038</v>
      </c>
      <c r="B77" s="27" t="s">
        <v>33</v>
      </c>
      <c r="C77" s="27" t="s">
        <v>38</v>
      </c>
      <c r="D77" s="27"/>
      <c r="E77" s="35">
        <v>7</v>
      </c>
      <c r="F77" s="7">
        <v>34</v>
      </c>
      <c r="G77" s="7">
        <v>34</v>
      </c>
      <c r="H77" s="37">
        <f t="shared" si="5"/>
        <v>45</v>
      </c>
      <c r="I77" s="37">
        <f t="shared" si="4"/>
        <v>-11</v>
      </c>
      <c r="J77" s="37" t="s">
        <v>63</v>
      </c>
    </row>
    <row r="78" spans="1:10">
      <c r="A78" s="42" t="s">
        <v>1044</v>
      </c>
      <c r="B78" s="27" t="s">
        <v>438</v>
      </c>
      <c r="C78" s="27" t="s">
        <v>442</v>
      </c>
      <c r="D78" s="27"/>
      <c r="E78" s="35">
        <v>7</v>
      </c>
      <c r="F78" s="7">
        <v>35</v>
      </c>
      <c r="G78" s="7">
        <v>35</v>
      </c>
      <c r="H78" s="37">
        <f t="shared" si="5"/>
        <v>45</v>
      </c>
      <c r="I78" s="37">
        <f t="shared" si="4"/>
        <v>-10</v>
      </c>
      <c r="J78" s="37" t="s">
        <v>63</v>
      </c>
    </row>
    <row r="79" spans="1:10">
      <c r="A79" s="42" t="s">
        <v>1050</v>
      </c>
      <c r="B79" s="27" t="s">
        <v>33</v>
      </c>
      <c r="C79" s="27" t="s">
        <v>38</v>
      </c>
      <c r="D79" s="27"/>
      <c r="E79" s="35">
        <v>7</v>
      </c>
      <c r="F79" s="7">
        <v>57</v>
      </c>
      <c r="G79" s="7">
        <v>57</v>
      </c>
      <c r="H79" s="37">
        <f t="shared" si="5"/>
        <v>45</v>
      </c>
      <c r="I79" s="37">
        <f t="shared" si="4"/>
        <v>12</v>
      </c>
      <c r="J79" s="37" t="s">
        <v>63</v>
      </c>
    </row>
    <row r="80" spans="1:10">
      <c r="A80" s="42" t="s">
        <v>1056</v>
      </c>
      <c r="B80" s="27" t="s">
        <v>438</v>
      </c>
      <c r="C80" s="27" t="s">
        <v>783</v>
      </c>
      <c r="D80" s="27"/>
      <c r="E80" s="35">
        <v>4</v>
      </c>
      <c r="F80" s="7">
        <v>9</v>
      </c>
      <c r="G80" s="7">
        <v>9</v>
      </c>
      <c r="H80" s="37">
        <f t="shared" si="5"/>
        <v>30</v>
      </c>
      <c r="I80" s="37">
        <f t="shared" si="4"/>
        <v>-21</v>
      </c>
      <c r="J80" s="37" t="s">
        <v>63</v>
      </c>
    </row>
    <row r="81" spans="1:10">
      <c r="A81" s="42" t="s">
        <v>1070</v>
      </c>
      <c r="B81" s="27" t="s">
        <v>438</v>
      </c>
      <c r="C81" s="27" t="s">
        <v>442</v>
      </c>
      <c r="D81" s="27" t="s">
        <v>67</v>
      </c>
      <c r="E81" s="35">
        <v>6</v>
      </c>
      <c r="F81">
        <v>27</v>
      </c>
      <c r="G81">
        <v>27</v>
      </c>
      <c r="H81" s="37">
        <f t="shared" si="5"/>
        <v>40</v>
      </c>
      <c r="I81" s="37">
        <f t="shared" si="4"/>
        <v>-13</v>
      </c>
      <c r="J81" s="37" t="s">
        <v>63</v>
      </c>
    </row>
    <row r="82" spans="1:10">
      <c r="A82" s="42" t="s">
        <v>1075</v>
      </c>
      <c r="B82" s="27" t="s">
        <v>33</v>
      </c>
      <c r="C82" s="27" t="s">
        <v>38</v>
      </c>
      <c r="D82" s="27"/>
      <c r="E82" s="55">
        <v>19</v>
      </c>
      <c r="F82">
        <v>485</v>
      </c>
      <c r="G82">
        <v>485</v>
      </c>
      <c r="H82" s="37">
        <f t="shared" si="5"/>
        <v>105</v>
      </c>
      <c r="I82" s="37">
        <f t="shared" si="4"/>
        <v>380</v>
      </c>
      <c r="J82" s="37" t="s">
        <v>63</v>
      </c>
    </row>
    <row r="83" spans="1:10">
      <c r="A83" s="42" t="s">
        <v>1087</v>
      </c>
      <c r="B83" s="27" t="s">
        <v>438</v>
      </c>
      <c r="C83" s="27" t="s">
        <v>442</v>
      </c>
      <c r="D83" s="27"/>
      <c r="E83" s="35">
        <v>10</v>
      </c>
      <c r="F83">
        <v>139</v>
      </c>
      <c r="G83">
        <v>139</v>
      </c>
      <c r="H83" s="37">
        <f t="shared" si="5"/>
        <v>60</v>
      </c>
      <c r="I83" s="37">
        <f t="shared" si="4"/>
        <v>79</v>
      </c>
      <c r="J83" s="37" t="s">
        <v>52</v>
      </c>
    </row>
    <row r="84" spans="1:10">
      <c r="A84" s="42" t="s">
        <v>1094</v>
      </c>
      <c r="B84" s="27" t="s">
        <v>438</v>
      </c>
      <c r="C84" s="27" t="s">
        <v>1098</v>
      </c>
      <c r="D84" s="27"/>
      <c r="E84" s="35">
        <v>9</v>
      </c>
      <c r="F84">
        <v>195</v>
      </c>
      <c r="G84">
        <v>195</v>
      </c>
      <c r="H84" s="37">
        <f t="shared" si="5"/>
        <v>55</v>
      </c>
      <c r="I84" s="37">
        <f t="shared" si="4"/>
        <v>140</v>
      </c>
      <c r="J84" s="37" t="s">
        <v>52</v>
      </c>
    </row>
    <row r="85" spans="1:10">
      <c r="A85" s="27" t="s">
        <v>1102</v>
      </c>
      <c r="B85" s="27" t="s">
        <v>33</v>
      </c>
      <c r="C85" s="27" t="s">
        <v>38</v>
      </c>
      <c r="D85" s="27" t="s">
        <v>1104</v>
      </c>
      <c r="E85" s="35">
        <v>16</v>
      </c>
      <c r="F85" s="27"/>
      <c r="G85" s="27"/>
      <c r="H85" s="37">
        <f t="shared" si="5"/>
        <v>90</v>
      </c>
      <c r="I85" s="37">
        <f t="shared" si="4"/>
        <v>-90</v>
      </c>
      <c r="J85" s="27" t="s">
        <v>63</v>
      </c>
    </row>
    <row r="86" spans="1:10">
      <c r="A86" s="27" t="s">
        <v>1109</v>
      </c>
      <c r="B86" s="27" t="s">
        <v>33</v>
      </c>
      <c r="C86" s="27" t="s">
        <v>38</v>
      </c>
      <c r="D86" s="27" t="s">
        <v>34</v>
      </c>
      <c r="E86" s="35">
        <v>9</v>
      </c>
      <c r="F86">
        <v>12</v>
      </c>
      <c r="G86">
        <v>12</v>
      </c>
      <c r="H86" s="37">
        <f t="shared" si="5"/>
        <v>55</v>
      </c>
      <c r="I86" s="37">
        <f t="shared" si="4"/>
        <v>-43</v>
      </c>
      <c r="J86" s="37" t="s">
        <v>63</v>
      </c>
    </row>
    <row r="87" spans="1:10">
      <c r="A87" s="27" t="s">
        <v>1127</v>
      </c>
      <c r="B87" s="27" t="s">
        <v>33</v>
      </c>
      <c r="C87" s="27" t="s">
        <v>38</v>
      </c>
      <c r="D87" s="27" t="s">
        <v>1129</v>
      </c>
      <c r="E87" s="35">
        <v>5</v>
      </c>
      <c r="F87" s="27"/>
      <c r="G87" s="27"/>
      <c r="H87" s="37">
        <f t="shared" si="5"/>
        <v>35</v>
      </c>
      <c r="I87" s="37">
        <f t="shared" si="4"/>
        <v>-35</v>
      </c>
      <c r="J87" s="27" t="s">
        <v>63</v>
      </c>
    </row>
    <row r="88" spans="1:10">
      <c r="A88" s="42" t="s">
        <v>1154</v>
      </c>
      <c r="B88" s="27" t="s">
        <v>438</v>
      </c>
      <c r="C88" s="27" t="s">
        <v>442</v>
      </c>
      <c r="D88" s="27"/>
      <c r="E88" s="35">
        <v>3</v>
      </c>
      <c r="F88">
        <v>8</v>
      </c>
      <c r="G88">
        <v>8</v>
      </c>
      <c r="H88" s="37">
        <f t="shared" si="5"/>
        <v>25</v>
      </c>
      <c r="I88" s="37">
        <f t="shared" si="4"/>
        <v>-17</v>
      </c>
      <c r="J88" s="37" t="s">
        <v>63</v>
      </c>
    </row>
    <row r="89" spans="1:10">
      <c r="A89" s="42" t="s">
        <v>1212</v>
      </c>
      <c r="B89" s="27" t="s">
        <v>438</v>
      </c>
      <c r="C89" s="27" t="s">
        <v>442</v>
      </c>
      <c r="D89" s="27"/>
      <c r="E89" s="35">
        <v>8</v>
      </c>
      <c r="F89" s="7">
        <v>55</v>
      </c>
      <c r="G89" s="7">
        <v>55</v>
      </c>
      <c r="H89" s="37">
        <f t="shared" si="5"/>
        <v>50</v>
      </c>
      <c r="I89" s="37">
        <f t="shared" si="4"/>
        <v>5</v>
      </c>
      <c r="J89" s="37" t="s">
        <v>63</v>
      </c>
    </row>
    <row r="90" spans="1:10">
      <c r="A90" s="42" t="s">
        <v>1219</v>
      </c>
      <c r="B90" s="27" t="s">
        <v>680</v>
      </c>
      <c r="C90" s="27" t="s">
        <v>684</v>
      </c>
      <c r="D90" s="27"/>
      <c r="E90" s="35">
        <v>58</v>
      </c>
      <c r="F90">
        <v>640</v>
      </c>
      <c r="G90">
        <v>640</v>
      </c>
      <c r="H90" s="37">
        <f t="shared" si="5"/>
        <v>300</v>
      </c>
      <c r="I90" s="37">
        <f t="shared" si="4"/>
        <v>340</v>
      </c>
      <c r="J90" s="37" t="s">
        <v>63</v>
      </c>
    </row>
    <row r="91" spans="1:10">
      <c r="A91" s="42" t="s">
        <v>1219</v>
      </c>
      <c r="B91" s="27" t="s">
        <v>33</v>
      </c>
      <c r="C91" s="27" t="s">
        <v>38</v>
      </c>
      <c r="D91" s="27"/>
      <c r="E91" s="35">
        <v>17</v>
      </c>
      <c r="F91">
        <v>20</v>
      </c>
      <c r="G91">
        <v>20</v>
      </c>
      <c r="H91" s="37">
        <f t="shared" si="5"/>
        <v>95</v>
      </c>
      <c r="I91" s="37">
        <f t="shared" si="4"/>
        <v>-75</v>
      </c>
      <c r="J91" s="37" t="s">
        <v>63</v>
      </c>
    </row>
    <row r="92" spans="1:10">
      <c r="A92" s="27" t="s">
        <v>1250</v>
      </c>
      <c r="B92" s="28" t="s">
        <v>562</v>
      </c>
      <c r="C92" s="27" t="s">
        <v>565</v>
      </c>
      <c r="D92" s="27"/>
      <c r="E92" s="55">
        <v>10</v>
      </c>
      <c r="F92" s="40">
        <v>18</v>
      </c>
      <c r="G92" s="40">
        <v>18</v>
      </c>
      <c r="H92" s="37">
        <f t="shared" si="5"/>
        <v>60</v>
      </c>
      <c r="I92" s="37">
        <f t="shared" si="4"/>
        <v>-42</v>
      </c>
      <c r="J92" s="27" t="s">
        <v>63</v>
      </c>
    </row>
    <row r="93" spans="1:10">
      <c r="A93" s="42" t="s">
        <v>1257</v>
      </c>
      <c r="B93" s="28" t="s">
        <v>562</v>
      </c>
      <c r="C93" s="27" t="s">
        <v>565</v>
      </c>
      <c r="D93" s="27"/>
      <c r="E93" s="35">
        <v>16</v>
      </c>
      <c r="F93">
        <v>284</v>
      </c>
      <c r="G93">
        <v>284</v>
      </c>
      <c r="H93" s="37">
        <f t="shared" si="5"/>
        <v>90</v>
      </c>
      <c r="I93" s="37">
        <f t="shared" si="4"/>
        <v>194</v>
      </c>
      <c r="J93" s="37" t="s">
        <v>63</v>
      </c>
    </row>
    <row r="94" spans="1:10">
      <c r="A94" s="42" t="s">
        <v>1274</v>
      </c>
      <c r="B94" s="28" t="s">
        <v>438</v>
      </c>
      <c r="C94" s="27" t="s">
        <v>442</v>
      </c>
      <c r="D94" s="27"/>
      <c r="E94" s="35">
        <v>8</v>
      </c>
      <c r="F94" s="40">
        <v>77</v>
      </c>
      <c r="G94" s="40">
        <v>77</v>
      </c>
      <c r="H94" s="37">
        <f t="shared" si="5"/>
        <v>50</v>
      </c>
      <c r="I94" s="37">
        <f t="shared" si="4"/>
        <v>27</v>
      </c>
      <c r="J94" s="37" t="s">
        <v>63</v>
      </c>
    </row>
    <row r="95" spans="1:10">
      <c r="A95" s="27" t="s">
        <v>1286</v>
      </c>
      <c r="B95" s="27" t="s">
        <v>438</v>
      </c>
      <c r="C95" s="27" t="s">
        <v>442</v>
      </c>
      <c r="D95" s="27"/>
      <c r="E95" s="55">
        <v>12</v>
      </c>
      <c r="F95" s="40">
        <v>140</v>
      </c>
      <c r="G95" s="40">
        <v>140</v>
      </c>
      <c r="H95" s="37">
        <f t="shared" si="5"/>
        <v>70</v>
      </c>
      <c r="I95" s="37">
        <f t="shared" si="4"/>
        <v>70</v>
      </c>
      <c r="J95" s="27" t="s">
        <v>63</v>
      </c>
    </row>
    <row r="96" spans="1:10">
      <c r="A96" s="42" t="s">
        <v>1292</v>
      </c>
      <c r="B96" s="27" t="s">
        <v>33</v>
      </c>
      <c r="C96" s="27" t="s">
        <v>38</v>
      </c>
      <c r="D96" s="27"/>
      <c r="E96" s="35">
        <v>4</v>
      </c>
      <c r="F96">
        <v>3</v>
      </c>
      <c r="G96">
        <v>3</v>
      </c>
      <c r="H96" s="37">
        <f t="shared" si="5"/>
        <v>30</v>
      </c>
      <c r="I96" s="37">
        <f t="shared" si="4"/>
        <v>-27</v>
      </c>
      <c r="J96" s="37" t="s">
        <v>63</v>
      </c>
    </row>
    <row r="97" spans="1:10">
      <c r="A97" s="42" t="s">
        <v>1292</v>
      </c>
      <c r="B97" s="27" t="s">
        <v>735</v>
      </c>
      <c r="C97" s="27" t="s">
        <v>737</v>
      </c>
      <c r="D97" s="27" t="s">
        <v>1298</v>
      </c>
      <c r="E97" s="35">
        <v>3</v>
      </c>
      <c r="F97">
        <v>0</v>
      </c>
      <c r="H97" s="37">
        <f t="shared" si="5"/>
        <v>25</v>
      </c>
      <c r="I97" s="37">
        <f t="shared" si="4"/>
        <v>-25</v>
      </c>
      <c r="J97" s="37" t="s">
        <v>63</v>
      </c>
    </row>
    <row r="98" spans="1:10">
      <c r="A98" s="42" t="s">
        <v>1302</v>
      </c>
      <c r="B98" s="27" t="s">
        <v>33</v>
      </c>
      <c r="C98" s="27" t="s">
        <v>38</v>
      </c>
      <c r="D98" s="27"/>
      <c r="E98" s="35">
        <v>3</v>
      </c>
      <c r="F98">
        <v>16</v>
      </c>
      <c r="G98">
        <v>16</v>
      </c>
      <c r="H98" s="37">
        <f t="shared" si="5"/>
        <v>25</v>
      </c>
      <c r="I98" s="37">
        <f t="shared" si="4"/>
        <v>-9</v>
      </c>
      <c r="J98" s="37" t="s">
        <v>63</v>
      </c>
    </row>
    <row r="99" spans="1:10">
      <c r="A99" s="42" t="s">
        <v>1302</v>
      </c>
      <c r="B99" s="27" t="s">
        <v>500</v>
      </c>
      <c r="C99" s="27" t="s">
        <v>504</v>
      </c>
      <c r="D99" s="27"/>
      <c r="E99" s="35">
        <v>6</v>
      </c>
      <c r="F99">
        <v>86</v>
      </c>
      <c r="G99">
        <v>86</v>
      </c>
      <c r="H99" s="37">
        <f t="shared" si="5"/>
        <v>40</v>
      </c>
      <c r="I99" s="37">
        <f t="shared" si="4"/>
        <v>46</v>
      </c>
      <c r="J99" s="37" t="s">
        <v>63</v>
      </c>
    </row>
    <row r="100" spans="1:10">
      <c r="A100" s="42" t="s">
        <v>1322</v>
      </c>
      <c r="B100" s="27" t="s">
        <v>33</v>
      </c>
      <c r="C100" s="27" t="s">
        <v>38</v>
      </c>
      <c r="D100" s="27" t="s">
        <v>67</v>
      </c>
      <c r="E100" s="35">
        <v>11</v>
      </c>
      <c r="F100">
        <v>778</v>
      </c>
      <c r="G100">
        <v>778</v>
      </c>
      <c r="H100" s="37">
        <f t="shared" si="5"/>
        <v>65</v>
      </c>
      <c r="I100" s="37">
        <f t="shared" si="4"/>
        <v>713</v>
      </c>
      <c r="J100" s="37" t="s">
        <v>52</v>
      </c>
    </row>
    <row r="101" spans="1:10">
      <c r="A101" s="42" t="s">
        <v>1322</v>
      </c>
      <c r="B101" s="27" t="s">
        <v>33</v>
      </c>
      <c r="C101" s="27" t="s">
        <v>38</v>
      </c>
      <c r="D101" s="27" t="s">
        <v>1329</v>
      </c>
      <c r="E101" s="35">
        <v>5</v>
      </c>
      <c r="F101">
        <v>40</v>
      </c>
      <c r="G101">
        <v>40</v>
      </c>
      <c r="H101" s="37">
        <f t="shared" si="5"/>
        <v>35</v>
      </c>
      <c r="I101" s="37">
        <f t="shared" si="4"/>
        <v>5</v>
      </c>
      <c r="J101" s="37" t="s">
        <v>63</v>
      </c>
    </row>
    <row r="102" spans="1:10">
      <c r="A102" s="42" t="s">
        <v>1322</v>
      </c>
      <c r="B102" s="27" t="s">
        <v>33</v>
      </c>
      <c r="C102" s="27" t="s">
        <v>38</v>
      </c>
      <c r="D102" s="27" t="s">
        <v>1334</v>
      </c>
      <c r="E102" s="35">
        <v>5</v>
      </c>
      <c r="F102">
        <v>214</v>
      </c>
      <c r="G102">
        <v>214</v>
      </c>
      <c r="H102" s="37">
        <f t="shared" si="5"/>
        <v>35</v>
      </c>
      <c r="I102" s="37">
        <f t="shared" si="4"/>
        <v>179</v>
      </c>
      <c r="J102" s="37" t="s">
        <v>63</v>
      </c>
    </row>
    <row r="103" spans="1:10">
      <c r="A103" s="42" t="s">
        <v>1354</v>
      </c>
      <c r="B103" s="27" t="s">
        <v>568</v>
      </c>
      <c r="C103" s="27" t="s">
        <v>571</v>
      </c>
      <c r="D103" s="27" t="s">
        <v>67</v>
      </c>
      <c r="E103" s="35">
        <v>17</v>
      </c>
      <c r="F103">
        <v>442</v>
      </c>
      <c r="G103">
        <v>442</v>
      </c>
      <c r="H103" s="37">
        <f t="shared" si="5"/>
        <v>95</v>
      </c>
      <c r="I103" s="37">
        <f t="shared" si="4"/>
        <v>347</v>
      </c>
      <c r="J103" s="37" t="s">
        <v>52</v>
      </c>
    </row>
    <row r="104" spans="1:10">
      <c r="A104" s="42" t="s">
        <v>1362</v>
      </c>
      <c r="B104" s="27" t="s">
        <v>438</v>
      </c>
      <c r="C104" s="27" t="s">
        <v>442</v>
      </c>
      <c r="D104" s="27"/>
      <c r="E104" s="35">
        <v>11</v>
      </c>
      <c r="F104">
        <v>162</v>
      </c>
      <c r="G104">
        <v>162</v>
      </c>
      <c r="H104" s="37">
        <f t="shared" si="5"/>
        <v>65</v>
      </c>
      <c r="I104" s="37">
        <f t="shared" si="4"/>
        <v>97</v>
      </c>
      <c r="J104" s="37" t="s">
        <v>63</v>
      </c>
    </row>
    <row r="105" spans="1:10">
      <c r="A105" s="42" t="s">
        <v>1368</v>
      </c>
      <c r="B105" s="27" t="s">
        <v>33</v>
      </c>
      <c r="C105" s="27" t="s">
        <v>38</v>
      </c>
      <c r="D105" s="27"/>
      <c r="E105" s="35">
        <v>8</v>
      </c>
      <c r="F105">
        <v>107</v>
      </c>
      <c r="G105">
        <v>107</v>
      </c>
      <c r="H105" s="37">
        <f t="shared" si="5"/>
        <v>50</v>
      </c>
      <c r="I105" s="37">
        <f t="shared" si="4"/>
        <v>57</v>
      </c>
      <c r="J105" s="37" t="s">
        <v>63</v>
      </c>
    </row>
    <row r="106" spans="1:10">
      <c r="A106" s="42" t="s">
        <v>1374</v>
      </c>
      <c r="B106" s="27" t="s">
        <v>438</v>
      </c>
      <c r="C106" s="27" t="s">
        <v>442</v>
      </c>
      <c r="D106" s="27"/>
      <c r="E106" s="35">
        <v>6</v>
      </c>
      <c r="F106">
        <v>72</v>
      </c>
      <c r="G106">
        <v>72</v>
      </c>
      <c r="H106" s="37">
        <f t="shared" si="5"/>
        <v>40</v>
      </c>
      <c r="I106" s="37">
        <f t="shared" si="4"/>
        <v>32</v>
      </c>
      <c r="J106" s="37" t="s">
        <v>63</v>
      </c>
    </row>
  </sheetData>
  <autoFilter xmlns:etc="http://www.wps.cn/officeDocument/2017/etCustomData" ref="I1:I106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3"/>
  <sheetViews>
    <sheetView topLeftCell="M1" workbookViewId="0">
      <selection activeCell="AB24" sqref="Z23:AB24"/>
    </sheetView>
  </sheetViews>
  <sheetFormatPr defaultColWidth="8.69090909090909" defaultRowHeight="14"/>
  <cols>
    <col min="1" max="1" width="7.38181818181818" customWidth="1"/>
  </cols>
  <sheetData>
    <row r="1" spans="1:28">
      <c r="A1" s="26" t="s">
        <v>0</v>
      </c>
      <c r="B1" s="29" t="s">
        <v>1</v>
      </c>
      <c r="C1" s="26" t="s">
        <v>2</v>
      </c>
      <c r="D1" s="26" t="s">
        <v>3</v>
      </c>
      <c r="E1" s="26" t="s">
        <v>13</v>
      </c>
      <c r="F1" s="26" t="s">
        <v>4</v>
      </c>
      <c r="G1" s="30" t="s">
        <v>1385</v>
      </c>
      <c r="H1" s="26" t="s">
        <v>1386</v>
      </c>
      <c r="I1" s="26" t="s">
        <v>1387</v>
      </c>
      <c r="J1" s="26" t="s">
        <v>14</v>
      </c>
      <c r="K1" s="31" t="s">
        <v>16</v>
      </c>
      <c r="L1" s="26"/>
      <c r="M1" s="26" t="s">
        <v>7</v>
      </c>
      <c r="N1" s="26" t="s">
        <v>17</v>
      </c>
      <c r="O1" s="26" t="s">
        <v>18</v>
      </c>
      <c r="P1" s="26" t="s">
        <v>19</v>
      </c>
      <c r="Q1" s="26" t="s">
        <v>20</v>
      </c>
      <c r="R1" s="26" t="s">
        <v>12</v>
      </c>
      <c r="S1" s="26" t="s">
        <v>21</v>
      </c>
      <c r="T1" s="26" t="s">
        <v>22</v>
      </c>
      <c r="U1" s="30" t="s">
        <v>1385</v>
      </c>
      <c r="V1" s="26"/>
      <c r="W1" s="26" t="s">
        <v>23</v>
      </c>
      <c r="X1" s="26" t="s">
        <v>24</v>
      </c>
      <c r="Y1" s="26" t="s">
        <v>25</v>
      </c>
      <c r="Z1" s="26" t="s">
        <v>26</v>
      </c>
      <c r="AA1" s="26" t="s">
        <v>27</v>
      </c>
      <c r="AB1" s="32" t="s">
        <v>28</v>
      </c>
    </row>
    <row r="2" spans="1:28">
      <c r="A2" s="33" t="s">
        <v>30</v>
      </c>
      <c r="B2" s="27" t="s">
        <v>31</v>
      </c>
      <c r="C2" s="34" t="s">
        <v>32</v>
      </c>
      <c r="D2" s="27" t="s">
        <v>33</v>
      </c>
      <c r="E2" s="27" t="s">
        <v>38</v>
      </c>
      <c r="F2" s="27" t="s">
        <v>34</v>
      </c>
      <c r="G2" s="35">
        <v>11</v>
      </c>
      <c r="H2" s="27">
        <v>11</v>
      </c>
      <c r="I2" s="27">
        <v>0</v>
      </c>
      <c r="J2" s="27" t="s">
        <v>39</v>
      </c>
      <c r="K2" s="27" t="s">
        <v>40</v>
      </c>
      <c r="M2" s="27" t="s">
        <v>37</v>
      </c>
      <c r="N2" s="27" t="s">
        <v>41</v>
      </c>
      <c r="O2">
        <v>0.799</v>
      </c>
      <c r="P2" s="36">
        <v>1</v>
      </c>
      <c r="Q2">
        <v>5.6</v>
      </c>
      <c r="R2">
        <v>0.464</v>
      </c>
      <c r="S2" t="s">
        <v>42</v>
      </c>
      <c r="T2">
        <v>72</v>
      </c>
      <c r="U2" s="35">
        <v>11</v>
      </c>
      <c r="V2">
        <f t="shared" ref="V2:V65" si="0">T2-U2</f>
        <v>61</v>
      </c>
      <c r="W2">
        <v>12</v>
      </c>
      <c r="X2">
        <v>155</v>
      </c>
      <c r="Y2">
        <v>22</v>
      </c>
      <c r="Z2" s="27" t="s">
        <v>43</v>
      </c>
      <c r="AA2" s="37" t="s">
        <v>44</v>
      </c>
      <c r="AB2" s="38" t="s">
        <v>45</v>
      </c>
    </row>
    <row r="3" spans="1:28">
      <c r="A3" s="33" t="s">
        <v>74</v>
      </c>
      <c r="B3" s="27" t="s">
        <v>75</v>
      </c>
      <c r="C3" s="27" t="s">
        <v>76</v>
      </c>
      <c r="D3" s="27" t="s">
        <v>55</v>
      </c>
      <c r="E3" s="27" t="s">
        <v>59</v>
      </c>
      <c r="F3" s="27" t="s">
        <v>67</v>
      </c>
      <c r="G3" s="35">
        <v>7</v>
      </c>
      <c r="H3" s="27">
        <v>3</v>
      </c>
      <c r="I3" s="27">
        <v>4</v>
      </c>
      <c r="J3" s="27" t="s">
        <v>81</v>
      </c>
      <c r="K3" s="27" t="s">
        <v>82</v>
      </c>
      <c r="M3" s="27" t="s">
        <v>79</v>
      </c>
      <c r="N3" s="27" t="s">
        <v>41</v>
      </c>
      <c r="O3">
        <v>0.63</v>
      </c>
      <c r="P3" s="36">
        <v>0.573</v>
      </c>
      <c r="Q3">
        <v>62.1</v>
      </c>
      <c r="R3">
        <v>0.549</v>
      </c>
      <c r="S3" t="s">
        <v>42</v>
      </c>
      <c r="T3">
        <v>50</v>
      </c>
      <c r="U3" s="35">
        <v>7</v>
      </c>
      <c r="V3">
        <f t="shared" si="0"/>
        <v>43</v>
      </c>
      <c r="W3">
        <v>9</v>
      </c>
      <c r="X3">
        <v>106</v>
      </c>
      <c r="Y3">
        <v>16</v>
      </c>
      <c r="Z3" s="27" t="s">
        <v>83</v>
      </c>
      <c r="AA3" s="37" t="s">
        <v>44</v>
      </c>
      <c r="AB3" s="38" t="s">
        <v>45</v>
      </c>
    </row>
    <row r="4" spans="1:28">
      <c r="A4" s="33" t="s">
        <v>84</v>
      </c>
      <c r="B4" s="27" t="s">
        <v>75</v>
      </c>
      <c r="C4" s="27" t="s">
        <v>76</v>
      </c>
      <c r="D4" s="27" t="s">
        <v>55</v>
      </c>
      <c r="E4" s="27" t="s">
        <v>59</v>
      </c>
      <c r="F4" s="27" t="s">
        <v>85</v>
      </c>
      <c r="G4" s="35">
        <v>7</v>
      </c>
      <c r="H4" s="27">
        <v>4</v>
      </c>
      <c r="I4" s="27">
        <v>3</v>
      </c>
      <c r="J4" s="27" t="s">
        <v>89</v>
      </c>
      <c r="K4" s="27" t="s">
        <v>90</v>
      </c>
      <c r="M4" s="27" t="s">
        <v>79</v>
      </c>
      <c r="N4" s="27" t="s">
        <v>41</v>
      </c>
      <c r="O4">
        <v>0.4</v>
      </c>
      <c r="P4" s="36">
        <v>1</v>
      </c>
      <c r="Q4">
        <v>0</v>
      </c>
      <c r="R4">
        <v>0.461</v>
      </c>
      <c r="S4" t="s">
        <v>42</v>
      </c>
      <c r="T4">
        <v>58</v>
      </c>
      <c r="U4" s="35" t="s">
        <v>2183</v>
      </c>
      <c r="V4">
        <f t="shared" si="0"/>
        <v>51</v>
      </c>
      <c r="W4">
        <v>28</v>
      </c>
      <c r="X4">
        <v>124</v>
      </c>
      <c r="Y4">
        <v>58</v>
      </c>
      <c r="Z4" s="27" t="s">
        <v>83</v>
      </c>
      <c r="AA4" s="37" t="s">
        <v>44</v>
      </c>
      <c r="AB4" s="38" t="s">
        <v>45</v>
      </c>
    </row>
    <row r="5" spans="1:28">
      <c r="A5" s="33" t="s">
        <v>91</v>
      </c>
      <c r="B5" s="27" t="s">
        <v>75</v>
      </c>
      <c r="C5" s="27" t="s">
        <v>76</v>
      </c>
      <c r="D5" s="27" t="s">
        <v>55</v>
      </c>
      <c r="E5" s="27" t="s">
        <v>59</v>
      </c>
      <c r="F5" s="27" t="s">
        <v>92</v>
      </c>
      <c r="G5" s="35">
        <v>7</v>
      </c>
      <c r="H5" s="27">
        <v>4</v>
      </c>
      <c r="I5" s="27">
        <v>3</v>
      </c>
      <c r="J5" s="27" t="s">
        <v>89</v>
      </c>
      <c r="K5" s="27" t="s">
        <v>94</v>
      </c>
      <c r="M5" s="27" t="s">
        <v>79</v>
      </c>
      <c r="N5" s="27" t="s">
        <v>41</v>
      </c>
      <c r="O5">
        <v>0.206</v>
      </c>
      <c r="P5" s="36">
        <v>0.816</v>
      </c>
      <c r="Q5">
        <v>24.4</v>
      </c>
      <c r="R5">
        <v>0.156</v>
      </c>
      <c r="S5" t="s">
        <v>42</v>
      </c>
      <c r="T5">
        <v>18</v>
      </c>
      <c r="U5" s="35">
        <v>7</v>
      </c>
      <c r="V5">
        <f t="shared" si="0"/>
        <v>11</v>
      </c>
      <c r="W5">
        <v>5</v>
      </c>
      <c r="X5">
        <v>41</v>
      </c>
      <c r="Y5">
        <v>9</v>
      </c>
      <c r="Z5" s="27" t="s">
        <v>83</v>
      </c>
      <c r="AA5" s="37" t="s">
        <v>44</v>
      </c>
      <c r="AB5" s="38" t="s">
        <v>45</v>
      </c>
    </row>
    <row r="6" spans="1:28">
      <c r="A6" s="39" t="s">
        <v>112</v>
      </c>
      <c r="B6" s="27" t="s">
        <v>113</v>
      </c>
      <c r="C6" s="27" t="s">
        <v>114</v>
      </c>
      <c r="D6" s="27" t="s">
        <v>33</v>
      </c>
      <c r="E6" s="27" t="s">
        <v>38</v>
      </c>
      <c r="F6" s="27" t="s">
        <v>115</v>
      </c>
      <c r="G6" s="35">
        <v>6</v>
      </c>
      <c r="H6" s="27">
        <v>2</v>
      </c>
      <c r="I6" s="27">
        <v>4</v>
      </c>
      <c r="J6" s="27" t="s">
        <v>118</v>
      </c>
      <c r="K6" s="27" t="s">
        <v>119</v>
      </c>
      <c r="L6" s="40"/>
      <c r="M6" s="27" t="s">
        <v>37</v>
      </c>
      <c r="N6" s="27" t="s">
        <v>41</v>
      </c>
      <c r="O6" s="40">
        <v>0.486</v>
      </c>
      <c r="P6" s="40">
        <v>1</v>
      </c>
      <c r="Q6" s="40">
        <v>6.2</v>
      </c>
      <c r="R6" s="40">
        <v>0.16</v>
      </c>
      <c r="S6" s="27"/>
      <c r="T6" s="40">
        <v>6</v>
      </c>
      <c r="U6" s="35">
        <v>6</v>
      </c>
      <c r="V6">
        <f t="shared" si="0"/>
        <v>0</v>
      </c>
      <c r="W6" s="40">
        <v>46</v>
      </c>
      <c r="X6" s="40">
        <v>16</v>
      </c>
      <c r="Y6" s="40">
        <v>74</v>
      </c>
      <c r="Z6" s="27" t="s">
        <v>62</v>
      </c>
      <c r="AA6" s="27" t="s">
        <v>44</v>
      </c>
      <c r="AB6" s="38" t="s">
        <v>45</v>
      </c>
    </row>
    <row r="7" ht="28" spans="1:28">
      <c r="A7" s="41" t="s">
        <v>152</v>
      </c>
      <c r="B7" s="42" t="s">
        <v>153</v>
      </c>
      <c r="C7" s="43" t="s">
        <v>154</v>
      </c>
      <c r="D7" s="27" t="s">
        <v>55</v>
      </c>
      <c r="E7" s="27" t="s">
        <v>59</v>
      </c>
      <c r="F7" s="27"/>
      <c r="G7" s="35">
        <v>9</v>
      </c>
      <c r="H7" s="27">
        <v>9</v>
      </c>
      <c r="I7" s="27">
        <v>0</v>
      </c>
      <c r="J7" s="27" t="s">
        <v>157</v>
      </c>
      <c r="K7" s="27" t="s">
        <v>158</v>
      </c>
      <c r="M7" s="27" t="s">
        <v>79</v>
      </c>
      <c r="N7" s="27" t="s">
        <v>41</v>
      </c>
      <c r="O7">
        <v>0.222</v>
      </c>
      <c r="P7">
        <v>0.784</v>
      </c>
      <c r="Q7">
        <v>7</v>
      </c>
      <c r="R7">
        <v>0.131</v>
      </c>
      <c r="S7" t="s">
        <v>42</v>
      </c>
      <c r="T7">
        <v>0</v>
      </c>
      <c r="U7" s="35">
        <v>9</v>
      </c>
      <c r="V7">
        <f t="shared" si="0"/>
        <v>-9</v>
      </c>
      <c r="W7" t="s">
        <v>159</v>
      </c>
      <c r="X7">
        <v>2</v>
      </c>
      <c r="Y7">
        <v>24</v>
      </c>
      <c r="Z7" s="27" t="s">
        <v>62</v>
      </c>
      <c r="AA7" s="37" t="s">
        <v>44</v>
      </c>
      <c r="AB7" s="38" t="s">
        <v>45</v>
      </c>
    </row>
    <row r="8" spans="1:28">
      <c r="A8" s="33" t="s">
        <v>175</v>
      </c>
      <c r="B8" s="27" t="s">
        <v>167</v>
      </c>
      <c r="C8" s="34" t="s">
        <v>32</v>
      </c>
      <c r="D8" s="27" t="s">
        <v>33</v>
      </c>
      <c r="E8" s="27" t="s">
        <v>38</v>
      </c>
      <c r="F8" s="27" t="s">
        <v>34</v>
      </c>
      <c r="G8" s="35">
        <v>14</v>
      </c>
      <c r="H8" s="27">
        <v>14</v>
      </c>
      <c r="I8" s="27">
        <v>0</v>
      </c>
      <c r="J8" s="27" t="s">
        <v>178</v>
      </c>
      <c r="K8" s="27" t="s">
        <v>179</v>
      </c>
      <c r="M8" s="27" t="s">
        <v>37</v>
      </c>
      <c r="N8" s="27" t="s">
        <v>41</v>
      </c>
      <c r="O8">
        <v>0.151</v>
      </c>
      <c r="P8" s="36">
        <v>0.73</v>
      </c>
      <c r="Q8">
        <v>21.9</v>
      </c>
      <c r="R8">
        <v>0.735</v>
      </c>
      <c r="S8" t="s">
        <v>42</v>
      </c>
      <c r="T8">
        <v>446</v>
      </c>
      <c r="U8" s="35">
        <v>14</v>
      </c>
      <c r="V8">
        <f t="shared" si="0"/>
        <v>432</v>
      </c>
      <c r="W8">
        <v>18</v>
      </c>
      <c r="X8">
        <v>922</v>
      </c>
      <c r="Y8">
        <v>26</v>
      </c>
      <c r="Z8" s="27" t="s">
        <v>43</v>
      </c>
      <c r="AA8" s="37" t="s">
        <v>44</v>
      </c>
      <c r="AB8" s="38" t="s">
        <v>45</v>
      </c>
    </row>
    <row r="9" spans="1:28">
      <c r="A9" s="39" t="s">
        <v>198</v>
      </c>
      <c r="B9" s="27" t="s">
        <v>167</v>
      </c>
      <c r="C9" s="27" t="s">
        <v>199</v>
      </c>
      <c r="D9" s="27" t="s">
        <v>55</v>
      </c>
      <c r="E9" s="27" t="s">
        <v>59</v>
      </c>
      <c r="F9" s="27"/>
      <c r="G9" s="35">
        <v>17</v>
      </c>
      <c r="H9" s="27" t="s">
        <v>43</v>
      </c>
      <c r="I9" s="27"/>
      <c r="J9" s="27" t="s">
        <v>202</v>
      </c>
      <c r="K9" s="27" t="s">
        <v>203</v>
      </c>
      <c r="L9" s="40"/>
      <c r="M9" s="27" t="s">
        <v>37</v>
      </c>
      <c r="N9" s="27" t="s">
        <v>41</v>
      </c>
      <c r="O9" s="40">
        <v>0.245</v>
      </c>
      <c r="P9" s="40">
        <v>0.21</v>
      </c>
      <c r="Q9" s="40">
        <v>0</v>
      </c>
      <c r="R9" s="40">
        <v>0.0574</v>
      </c>
      <c r="S9" s="27"/>
      <c r="T9" s="40">
        <v>0</v>
      </c>
      <c r="U9" s="35">
        <v>17</v>
      </c>
      <c r="V9">
        <f t="shared" si="0"/>
        <v>-17</v>
      </c>
      <c r="W9" s="40">
        <v>0</v>
      </c>
      <c r="X9" s="40">
        <v>1</v>
      </c>
      <c r="Y9" s="40">
        <v>1</v>
      </c>
      <c r="Z9" s="27" t="s">
        <v>110</v>
      </c>
      <c r="AA9" s="27" t="s">
        <v>44</v>
      </c>
      <c r="AB9" s="38" t="s">
        <v>45</v>
      </c>
    </row>
    <row r="10" spans="1:28">
      <c r="A10" s="39" t="s">
        <v>204</v>
      </c>
      <c r="B10" s="27" t="s">
        <v>205</v>
      </c>
      <c r="C10" s="27" t="s">
        <v>154</v>
      </c>
      <c r="D10" s="27" t="s">
        <v>55</v>
      </c>
      <c r="E10" s="27" t="s">
        <v>59</v>
      </c>
      <c r="F10" s="27"/>
      <c r="G10" s="35">
        <v>17</v>
      </c>
      <c r="H10" s="27">
        <v>17</v>
      </c>
      <c r="I10" s="27">
        <v>0</v>
      </c>
      <c r="J10" s="27" t="s">
        <v>209</v>
      </c>
      <c r="K10" s="44" t="s">
        <v>210</v>
      </c>
      <c r="L10" s="40"/>
      <c r="M10" s="27" t="s">
        <v>164</v>
      </c>
      <c r="N10" s="27" t="s">
        <v>41</v>
      </c>
      <c r="O10" s="40">
        <v>0.133</v>
      </c>
      <c r="P10" s="40">
        <v>0.499</v>
      </c>
      <c r="Q10" s="40">
        <v>70.1</v>
      </c>
      <c r="R10" s="40">
        <v>0.758</v>
      </c>
      <c r="S10" s="27"/>
      <c r="T10" s="40">
        <v>560</v>
      </c>
      <c r="U10" s="35">
        <v>17</v>
      </c>
      <c r="V10">
        <f t="shared" si="0"/>
        <v>543</v>
      </c>
      <c r="W10" s="40">
        <v>40</v>
      </c>
      <c r="X10" s="40">
        <v>1157</v>
      </c>
      <c r="Y10" s="40">
        <v>63</v>
      </c>
      <c r="Z10" s="27" t="s">
        <v>62</v>
      </c>
      <c r="AA10" s="27" t="s">
        <v>44</v>
      </c>
      <c r="AB10" s="38" t="s">
        <v>45</v>
      </c>
    </row>
    <row r="11" ht="28" spans="1:28">
      <c r="A11" s="41" t="s">
        <v>283</v>
      </c>
      <c r="B11" s="42" t="s">
        <v>284</v>
      </c>
      <c r="C11" s="43" t="s">
        <v>285</v>
      </c>
      <c r="D11" s="27" t="s">
        <v>33</v>
      </c>
      <c r="E11" s="27" t="s">
        <v>38</v>
      </c>
      <c r="F11" s="27"/>
      <c r="G11" s="35">
        <v>16</v>
      </c>
      <c r="H11" s="27">
        <v>6</v>
      </c>
      <c r="I11" s="27">
        <v>10</v>
      </c>
      <c r="J11" s="27" t="s">
        <v>288</v>
      </c>
      <c r="K11" s="27" t="s">
        <v>289</v>
      </c>
      <c r="M11" s="27" t="s">
        <v>37</v>
      </c>
      <c r="N11" s="27" t="s">
        <v>216</v>
      </c>
      <c r="O11">
        <v>0.655</v>
      </c>
      <c r="P11">
        <v>0.83</v>
      </c>
      <c r="Q11">
        <v>67.5</v>
      </c>
      <c r="R11">
        <v>0.542</v>
      </c>
      <c r="S11" t="s">
        <v>42</v>
      </c>
      <c r="T11">
        <v>179</v>
      </c>
      <c r="U11" s="35">
        <v>16</v>
      </c>
      <c r="V11">
        <f t="shared" si="0"/>
        <v>163</v>
      </c>
      <c r="W11">
        <v>1444</v>
      </c>
      <c r="X11">
        <v>380</v>
      </c>
      <c r="Y11" t="s">
        <v>159</v>
      </c>
      <c r="Z11" s="27" t="s">
        <v>110</v>
      </c>
      <c r="AA11" s="37" t="s">
        <v>44</v>
      </c>
      <c r="AB11" s="38" t="s">
        <v>45</v>
      </c>
    </row>
    <row r="12" spans="1:28">
      <c r="A12" s="34" t="s">
        <v>302</v>
      </c>
      <c r="B12" s="45" t="s">
        <v>303</v>
      </c>
      <c r="C12" s="34" t="s">
        <v>240</v>
      </c>
      <c r="D12" s="34" t="s">
        <v>55</v>
      </c>
      <c r="E12" s="34" t="s">
        <v>59</v>
      </c>
      <c r="F12" s="34"/>
      <c r="G12" s="46">
        <v>3</v>
      </c>
      <c r="H12" s="34">
        <v>0</v>
      </c>
      <c r="I12" s="34">
        <v>3</v>
      </c>
      <c r="J12" s="34" t="s">
        <v>305</v>
      </c>
      <c r="K12" s="47" t="s">
        <v>306</v>
      </c>
      <c r="L12" s="48">
        <v>1</v>
      </c>
      <c r="M12" s="34" t="s">
        <v>37</v>
      </c>
      <c r="N12" s="34" t="s">
        <v>216</v>
      </c>
      <c r="O12" s="48">
        <v>0.528</v>
      </c>
      <c r="P12" s="48">
        <v>1</v>
      </c>
      <c r="Q12" s="48">
        <v>0</v>
      </c>
      <c r="R12" s="48">
        <v>0.14</v>
      </c>
      <c r="S12" s="48" t="s">
        <v>42</v>
      </c>
      <c r="T12" s="48">
        <v>1</v>
      </c>
      <c r="U12" s="46">
        <v>3</v>
      </c>
      <c r="V12">
        <f t="shared" si="0"/>
        <v>-2</v>
      </c>
      <c r="W12" s="48">
        <v>1</v>
      </c>
      <c r="X12" s="48">
        <v>4</v>
      </c>
      <c r="Y12" s="48">
        <v>3</v>
      </c>
      <c r="Z12" s="34" t="s">
        <v>62</v>
      </c>
      <c r="AA12" s="34" t="s">
        <v>44</v>
      </c>
      <c r="AB12" s="49" t="s">
        <v>45</v>
      </c>
    </row>
    <row r="13" ht="16" spans="1:28">
      <c r="A13" s="41" t="s">
        <v>314</v>
      </c>
      <c r="B13" s="42" t="s">
        <v>315</v>
      </c>
      <c r="C13" s="27" t="s">
        <v>309</v>
      </c>
      <c r="D13" s="27" t="s">
        <v>33</v>
      </c>
      <c r="E13" s="27" t="s">
        <v>38</v>
      </c>
      <c r="F13" s="27"/>
      <c r="G13" s="35">
        <v>8</v>
      </c>
      <c r="H13" s="27">
        <v>3</v>
      </c>
      <c r="I13" s="27">
        <v>5</v>
      </c>
      <c r="J13" s="27" t="s">
        <v>318</v>
      </c>
      <c r="K13" s="27" t="s">
        <v>319</v>
      </c>
      <c r="M13" s="27" t="s">
        <v>37</v>
      </c>
      <c r="N13" s="27" t="s">
        <v>216</v>
      </c>
      <c r="O13">
        <v>0.904</v>
      </c>
      <c r="P13">
        <v>0.292</v>
      </c>
      <c r="Q13">
        <v>73.2</v>
      </c>
      <c r="R13">
        <v>0.312</v>
      </c>
      <c r="S13" t="s">
        <v>42</v>
      </c>
      <c r="T13">
        <v>19</v>
      </c>
      <c r="U13" s="35">
        <v>8</v>
      </c>
      <c r="V13">
        <f t="shared" si="0"/>
        <v>11</v>
      </c>
      <c r="W13">
        <v>4</v>
      </c>
      <c r="X13">
        <v>46</v>
      </c>
      <c r="Y13">
        <v>6</v>
      </c>
      <c r="Z13" s="27" t="s">
        <v>62</v>
      </c>
      <c r="AA13" s="37" t="s">
        <v>44</v>
      </c>
      <c r="AB13" s="38" t="s">
        <v>45</v>
      </c>
    </row>
    <row r="14" spans="1:28">
      <c r="A14" s="34" t="s">
        <v>331</v>
      </c>
      <c r="B14" s="45" t="s">
        <v>327</v>
      </c>
      <c r="C14" s="34" t="s">
        <v>240</v>
      </c>
      <c r="D14" s="34" t="s">
        <v>55</v>
      </c>
      <c r="E14" s="34" t="s">
        <v>59</v>
      </c>
      <c r="F14" s="34"/>
      <c r="G14" s="46">
        <v>2</v>
      </c>
      <c r="H14" s="34">
        <v>0</v>
      </c>
      <c r="I14" s="34">
        <v>2</v>
      </c>
      <c r="J14" s="34" t="s">
        <v>333</v>
      </c>
      <c r="K14" s="47" t="s">
        <v>334</v>
      </c>
      <c r="L14" s="48">
        <v>1</v>
      </c>
      <c r="M14" s="34" t="s">
        <v>37</v>
      </c>
      <c r="N14" s="34" t="s">
        <v>216</v>
      </c>
      <c r="O14" s="48" t="s">
        <v>43</v>
      </c>
      <c r="P14" s="48">
        <v>0.785</v>
      </c>
      <c r="Q14" s="48">
        <v>0</v>
      </c>
      <c r="R14" s="48">
        <v>0.0788</v>
      </c>
      <c r="S14" s="48" t="s">
        <v>42</v>
      </c>
      <c r="T14" s="48">
        <v>0</v>
      </c>
      <c r="U14" s="46">
        <v>2</v>
      </c>
      <c r="V14">
        <f t="shared" si="0"/>
        <v>-2</v>
      </c>
      <c r="W14" s="48">
        <v>0</v>
      </c>
      <c r="X14" s="48">
        <v>1</v>
      </c>
      <c r="Y14" s="48">
        <v>1</v>
      </c>
      <c r="Z14" s="34" t="s">
        <v>62</v>
      </c>
      <c r="AA14" s="34" t="s">
        <v>44</v>
      </c>
      <c r="AB14" s="49" t="s">
        <v>45</v>
      </c>
    </row>
    <row r="15" spans="1:28">
      <c r="A15" s="34" t="s">
        <v>335</v>
      </c>
      <c r="B15" s="47" t="s">
        <v>336</v>
      </c>
      <c r="C15" s="34" t="s">
        <v>337</v>
      </c>
      <c r="D15" s="34" t="s">
        <v>33</v>
      </c>
      <c r="E15" s="34" t="s">
        <v>38</v>
      </c>
      <c r="F15" s="34"/>
      <c r="G15" s="46">
        <v>8</v>
      </c>
      <c r="H15" s="34">
        <v>0</v>
      </c>
      <c r="I15" s="34">
        <v>8</v>
      </c>
      <c r="J15" s="34" t="s">
        <v>339</v>
      </c>
      <c r="K15" s="47" t="s">
        <v>340</v>
      </c>
      <c r="L15" s="7">
        <v>1</v>
      </c>
      <c r="M15" s="34" t="s">
        <v>37</v>
      </c>
      <c r="N15" s="34" t="s">
        <v>341</v>
      </c>
      <c r="O15" s="7">
        <v>0.502</v>
      </c>
      <c r="P15" s="7">
        <v>0.991</v>
      </c>
      <c r="Q15" s="34">
        <v>74.3</v>
      </c>
      <c r="R15" s="7">
        <v>0.0578</v>
      </c>
      <c r="S15" s="34"/>
      <c r="T15" s="7">
        <v>0</v>
      </c>
      <c r="U15" s="46">
        <v>8</v>
      </c>
      <c r="V15">
        <f t="shared" si="0"/>
        <v>-8</v>
      </c>
      <c r="W15" s="7">
        <v>374</v>
      </c>
      <c r="X15" s="7">
        <v>4</v>
      </c>
      <c r="Y15" s="7">
        <v>918</v>
      </c>
      <c r="Z15" s="34" t="s">
        <v>62</v>
      </c>
      <c r="AA15" s="34" t="s">
        <v>44</v>
      </c>
      <c r="AB15" s="49" t="s">
        <v>45</v>
      </c>
    </row>
    <row r="16" ht="16" spans="1:28">
      <c r="A16" s="41" t="s">
        <v>355</v>
      </c>
      <c r="B16" s="42" t="s">
        <v>356</v>
      </c>
      <c r="C16" s="27" t="s">
        <v>357</v>
      </c>
      <c r="D16" s="27" t="s">
        <v>33</v>
      </c>
      <c r="E16" s="27" t="s">
        <v>38</v>
      </c>
      <c r="F16" s="27"/>
      <c r="G16" s="35">
        <v>17</v>
      </c>
      <c r="H16" s="27">
        <v>12</v>
      </c>
      <c r="I16" s="27">
        <v>5</v>
      </c>
      <c r="J16" s="27" t="s">
        <v>359</v>
      </c>
      <c r="K16" s="27" t="s">
        <v>360</v>
      </c>
      <c r="M16" s="27" t="s">
        <v>79</v>
      </c>
      <c r="N16" s="27" t="s">
        <v>216</v>
      </c>
      <c r="O16">
        <v>0.333</v>
      </c>
      <c r="P16">
        <v>0.97</v>
      </c>
      <c r="Q16">
        <v>94.7</v>
      </c>
      <c r="R16">
        <v>0.194</v>
      </c>
      <c r="S16" t="s">
        <v>42</v>
      </c>
      <c r="T16">
        <v>14</v>
      </c>
      <c r="U16" s="35">
        <v>17</v>
      </c>
      <c r="V16">
        <f t="shared" si="0"/>
        <v>-3</v>
      </c>
      <c r="W16">
        <v>221</v>
      </c>
      <c r="X16">
        <v>39</v>
      </c>
      <c r="Y16">
        <v>552</v>
      </c>
      <c r="Z16" s="27" t="s">
        <v>62</v>
      </c>
      <c r="AA16" s="37" t="s">
        <v>44</v>
      </c>
      <c r="AB16" s="38" t="s">
        <v>45</v>
      </c>
    </row>
    <row r="17" spans="1:28">
      <c r="A17" s="34" t="s">
        <v>361</v>
      </c>
      <c r="B17" s="45" t="s">
        <v>362</v>
      </c>
      <c r="C17" s="34" t="s">
        <v>297</v>
      </c>
      <c r="D17" s="34" t="s">
        <v>33</v>
      </c>
      <c r="E17" s="34" t="s">
        <v>38</v>
      </c>
      <c r="F17" s="34"/>
      <c r="G17" s="46">
        <v>12</v>
      </c>
      <c r="H17" s="34" t="s">
        <v>43</v>
      </c>
      <c r="I17" s="34"/>
      <c r="J17" s="34" t="s">
        <v>364</v>
      </c>
      <c r="K17" s="47" t="s">
        <v>365</v>
      </c>
      <c r="L17" s="48">
        <v>1</v>
      </c>
      <c r="M17" s="34" t="s">
        <v>37</v>
      </c>
      <c r="N17" s="34" t="s">
        <v>216</v>
      </c>
      <c r="O17" s="48">
        <v>0.14</v>
      </c>
      <c r="P17" s="48">
        <v>0.0916</v>
      </c>
      <c r="Q17" s="48">
        <v>88.9</v>
      </c>
      <c r="R17" s="48">
        <v>0.0564</v>
      </c>
      <c r="S17" s="48" t="s">
        <v>42</v>
      </c>
      <c r="T17" s="48">
        <v>0</v>
      </c>
      <c r="U17" s="46">
        <v>12</v>
      </c>
      <c r="V17">
        <f t="shared" si="0"/>
        <v>-12</v>
      </c>
      <c r="W17" s="48">
        <v>0</v>
      </c>
      <c r="X17" s="48">
        <v>1</v>
      </c>
      <c r="Y17" s="48">
        <v>1</v>
      </c>
      <c r="Z17" s="34" t="s">
        <v>110</v>
      </c>
      <c r="AA17" s="34" t="s">
        <v>44</v>
      </c>
      <c r="AB17" s="49" t="s">
        <v>45</v>
      </c>
    </row>
    <row r="18" spans="1:28">
      <c r="A18" s="34" t="s">
        <v>379</v>
      </c>
      <c r="B18" s="45" t="s">
        <v>380</v>
      </c>
      <c r="C18" s="34" t="s">
        <v>297</v>
      </c>
      <c r="D18" s="34" t="s">
        <v>33</v>
      </c>
      <c r="E18" s="34" t="s">
        <v>38</v>
      </c>
      <c r="F18" s="34"/>
      <c r="G18" s="46">
        <v>5</v>
      </c>
      <c r="H18" s="34">
        <v>1</v>
      </c>
      <c r="I18" s="34">
        <v>4</v>
      </c>
      <c r="J18" s="34" t="s">
        <v>382</v>
      </c>
      <c r="K18" s="47" t="s">
        <v>383</v>
      </c>
      <c r="L18" s="48">
        <v>1</v>
      </c>
      <c r="M18" s="34" t="s">
        <v>37</v>
      </c>
      <c r="N18" s="34" t="s">
        <v>216</v>
      </c>
      <c r="O18" s="48">
        <v>0.966</v>
      </c>
      <c r="P18" s="48">
        <v>0.215</v>
      </c>
      <c r="Q18" s="48">
        <v>49</v>
      </c>
      <c r="R18" s="48">
        <v>0.0966</v>
      </c>
      <c r="S18" s="48" t="s">
        <v>42</v>
      </c>
      <c r="T18" s="48">
        <v>0</v>
      </c>
      <c r="U18" s="46">
        <v>5</v>
      </c>
      <c r="V18">
        <f t="shared" si="0"/>
        <v>-5</v>
      </c>
      <c r="W18" s="48">
        <v>270</v>
      </c>
      <c r="X18" s="48">
        <v>1</v>
      </c>
      <c r="Y18" s="48">
        <v>658</v>
      </c>
      <c r="Z18" s="34" t="s">
        <v>110</v>
      </c>
      <c r="AA18" s="34" t="s">
        <v>44</v>
      </c>
      <c r="AB18" s="49" t="s">
        <v>45</v>
      </c>
    </row>
    <row r="19" spans="1:28">
      <c r="A19" s="41" t="s">
        <v>411</v>
      </c>
      <c r="B19" s="42" t="s">
        <v>412</v>
      </c>
      <c r="C19" s="27" t="s">
        <v>297</v>
      </c>
      <c r="D19" s="27" t="s">
        <v>33</v>
      </c>
      <c r="E19" s="27" t="s">
        <v>38</v>
      </c>
      <c r="F19" s="27"/>
      <c r="G19" s="35">
        <v>40</v>
      </c>
      <c r="H19" s="27">
        <v>9</v>
      </c>
      <c r="I19" s="27">
        <v>31</v>
      </c>
      <c r="J19" s="27" t="s">
        <v>415</v>
      </c>
      <c r="K19" s="27" t="s">
        <v>416</v>
      </c>
      <c r="L19" s="40"/>
      <c r="M19" s="27" t="s">
        <v>37</v>
      </c>
      <c r="N19" s="27" t="s">
        <v>216</v>
      </c>
      <c r="O19" s="40">
        <v>0.0475</v>
      </c>
      <c r="P19" s="40">
        <v>0.26</v>
      </c>
      <c r="Q19" s="40">
        <v>64.7</v>
      </c>
      <c r="R19" s="40">
        <v>0.224</v>
      </c>
      <c r="S19" t="s">
        <v>42</v>
      </c>
      <c r="T19" s="40">
        <v>49</v>
      </c>
      <c r="U19" s="35">
        <v>40</v>
      </c>
      <c r="V19">
        <f t="shared" si="0"/>
        <v>9</v>
      </c>
      <c r="W19" s="40">
        <v>73</v>
      </c>
      <c r="X19" s="40">
        <v>128</v>
      </c>
      <c r="Y19" s="40">
        <v>100</v>
      </c>
      <c r="Z19" s="27" t="s">
        <v>110</v>
      </c>
      <c r="AA19" s="37" t="s">
        <v>44</v>
      </c>
      <c r="AB19" s="38" t="s">
        <v>45</v>
      </c>
    </row>
    <row r="20" spans="1:28">
      <c r="A20" s="34" t="s">
        <v>417</v>
      </c>
      <c r="B20" s="50" t="s">
        <v>412</v>
      </c>
      <c r="C20" s="34" t="s">
        <v>418</v>
      </c>
      <c r="D20" s="34" t="s">
        <v>55</v>
      </c>
      <c r="E20" s="34" t="s">
        <v>59</v>
      </c>
      <c r="F20" s="34"/>
      <c r="G20" s="46">
        <v>13</v>
      </c>
      <c r="H20" s="34">
        <v>0</v>
      </c>
      <c r="I20" s="34">
        <v>13</v>
      </c>
      <c r="J20" s="34" t="s">
        <v>420</v>
      </c>
      <c r="K20" s="51" t="s">
        <v>421</v>
      </c>
      <c r="L20" s="7">
        <v>1</v>
      </c>
      <c r="M20" s="34" t="s">
        <v>37</v>
      </c>
      <c r="N20" s="34" t="s">
        <v>216</v>
      </c>
      <c r="O20" s="7">
        <v>0.0367</v>
      </c>
      <c r="P20" s="7">
        <v>0.293</v>
      </c>
      <c r="Q20" s="7">
        <v>70.6</v>
      </c>
      <c r="R20" s="7">
        <v>0.0553</v>
      </c>
      <c r="S20" s="48" t="s">
        <v>42</v>
      </c>
      <c r="T20" s="7">
        <v>0</v>
      </c>
      <c r="U20" s="46">
        <v>13</v>
      </c>
      <c r="V20">
        <f t="shared" si="0"/>
        <v>-13</v>
      </c>
      <c r="W20" s="7">
        <v>0</v>
      </c>
      <c r="X20" s="7">
        <v>1</v>
      </c>
      <c r="Y20" s="7">
        <v>1</v>
      </c>
      <c r="Z20" s="34" t="s">
        <v>110</v>
      </c>
      <c r="AA20" s="34" t="s">
        <v>44</v>
      </c>
      <c r="AB20" s="49" t="s">
        <v>45</v>
      </c>
    </row>
    <row r="21" spans="1:28">
      <c r="A21" s="27" t="s">
        <v>422</v>
      </c>
      <c r="B21" s="27" t="s">
        <v>423</v>
      </c>
      <c r="C21" s="27" t="s">
        <v>424</v>
      </c>
      <c r="D21" s="27" t="s">
        <v>33</v>
      </c>
      <c r="E21" s="27" t="s">
        <v>38</v>
      </c>
      <c r="F21" s="27"/>
      <c r="G21" s="35">
        <v>42</v>
      </c>
      <c r="H21" s="27">
        <v>9</v>
      </c>
      <c r="I21" s="27">
        <v>33</v>
      </c>
      <c r="J21" s="27" t="s">
        <v>427</v>
      </c>
      <c r="K21" s="27" t="s">
        <v>428</v>
      </c>
      <c r="L21" s="27"/>
      <c r="M21" s="27" t="s">
        <v>79</v>
      </c>
      <c r="N21" s="27" t="s">
        <v>341</v>
      </c>
      <c r="O21" s="27">
        <v>0.364</v>
      </c>
      <c r="P21" s="27">
        <v>0.828</v>
      </c>
      <c r="Q21" s="27">
        <v>76</v>
      </c>
      <c r="R21" s="27">
        <v>0.626</v>
      </c>
      <c r="S21" s="27"/>
      <c r="T21" s="27">
        <v>598</v>
      </c>
      <c r="U21" s="35">
        <v>42</v>
      </c>
      <c r="V21">
        <f t="shared" si="0"/>
        <v>556</v>
      </c>
      <c r="W21" s="27">
        <v>198</v>
      </c>
      <c r="X21" s="27">
        <v>1253</v>
      </c>
      <c r="Y21" s="27">
        <v>399</v>
      </c>
      <c r="Z21" s="27" t="s">
        <v>146</v>
      </c>
      <c r="AA21" s="27" t="s">
        <v>44</v>
      </c>
      <c r="AB21" s="38" t="s">
        <v>45</v>
      </c>
    </row>
    <row r="22" spans="1:28">
      <c r="A22" s="27" t="s">
        <v>429</v>
      </c>
      <c r="B22" s="27" t="s">
        <v>423</v>
      </c>
      <c r="C22" s="27" t="s">
        <v>424</v>
      </c>
      <c r="D22" s="27" t="s">
        <v>55</v>
      </c>
      <c r="E22" s="27" t="s">
        <v>59</v>
      </c>
      <c r="F22" s="27"/>
      <c r="G22" s="35">
        <v>12</v>
      </c>
      <c r="H22" s="27">
        <v>1</v>
      </c>
      <c r="I22" s="27">
        <v>11</v>
      </c>
      <c r="J22" s="27" t="s">
        <v>432</v>
      </c>
      <c r="K22" s="27" t="s">
        <v>433</v>
      </c>
      <c r="L22" s="40"/>
      <c r="M22" s="27" t="s">
        <v>79</v>
      </c>
      <c r="N22" s="27" t="s">
        <v>341</v>
      </c>
      <c r="O22" s="40">
        <v>0.0521</v>
      </c>
      <c r="P22" s="40">
        <v>0.792</v>
      </c>
      <c r="Q22" s="27">
        <v>74.3</v>
      </c>
      <c r="R22" s="40">
        <v>0.364</v>
      </c>
      <c r="S22" s="27"/>
      <c r="T22" s="40">
        <v>31</v>
      </c>
      <c r="U22" s="35">
        <v>12</v>
      </c>
      <c r="V22">
        <f t="shared" si="0"/>
        <v>19</v>
      </c>
      <c r="W22" s="40">
        <v>28</v>
      </c>
      <c r="X22" s="40">
        <v>71</v>
      </c>
      <c r="Y22" s="40">
        <v>40</v>
      </c>
      <c r="Z22" s="27" t="s">
        <v>146</v>
      </c>
      <c r="AA22" s="27" t="s">
        <v>44</v>
      </c>
      <c r="AB22" s="38" t="s">
        <v>45</v>
      </c>
    </row>
    <row r="23" ht="28" spans="1:28">
      <c r="A23" s="34" t="s">
        <v>452</v>
      </c>
      <c r="B23" s="47" t="s">
        <v>436</v>
      </c>
      <c r="C23" s="52" t="s">
        <v>437</v>
      </c>
      <c r="D23" s="34" t="s">
        <v>438</v>
      </c>
      <c r="E23" s="34" t="s">
        <v>442</v>
      </c>
      <c r="F23" s="34" t="s">
        <v>453</v>
      </c>
      <c r="G23" s="46">
        <v>9</v>
      </c>
      <c r="H23" s="34">
        <v>5</v>
      </c>
      <c r="I23" s="34">
        <v>4</v>
      </c>
      <c r="J23" s="34" t="s">
        <v>456</v>
      </c>
      <c r="K23" s="47" t="s">
        <v>455</v>
      </c>
      <c r="L23" s="7">
        <v>1</v>
      </c>
      <c r="M23" s="34" t="s">
        <v>37</v>
      </c>
      <c r="N23" s="34" t="s">
        <v>41</v>
      </c>
      <c r="O23" s="7">
        <v>0.0163</v>
      </c>
      <c r="P23" s="7">
        <v>0.828</v>
      </c>
      <c r="Q23" s="7">
        <v>96.2</v>
      </c>
      <c r="R23" s="7">
        <v>0.0645</v>
      </c>
      <c r="S23" s="48" t="s">
        <v>42</v>
      </c>
      <c r="T23" s="48">
        <v>0</v>
      </c>
      <c r="U23" s="46">
        <v>9</v>
      </c>
      <c r="V23">
        <f t="shared" si="0"/>
        <v>-9</v>
      </c>
      <c r="W23" s="48" t="s">
        <v>159</v>
      </c>
      <c r="X23" s="48">
        <v>1</v>
      </c>
      <c r="Y23" s="48">
        <v>1</v>
      </c>
      <c r="Z23" s="34" t="s">
        <v>62</v>
      </c>
      <c r="AA23" s="34" t="s">
        <v>44</v>
      </c>
      <c r="AB23" s="49" t="s">
        <v>45</v>
      </c>
    </row>
    <row r="24" ht="28" spans="1:28">
      <c r="A24" s="33" t="s">
        <v>463</v>
      </c>
      <c r="B24" s="27" t="s">
        <v>436</v>
      </c>
      <c r="C24" s="43" t="s">
        <v>437</v>
      </c>
      <c r="D24" s="27" t="s">
        <v>438</v>
      </c>
      <c r="E24" s="27" t="s">
        <v>442</v>
      </c>
      <c r="F24" s="27" t="s">
        <v>464</v>
      </c>
      <c r="G24" s="35">
        <v>4</v>
      </c>
      <c r="H24" s="27">
        <v>2</v>
      </c>
      <c r="I24" s="27">
        <v>2</v>
      </c>
      <c r="J24" s="27" t="s">
        <v>467</v>
      </c>
      <c r="K24" s="27" t="s">
        <v>468</v>
      </c>
      <c r="L24" s="40"/>
      <c r="M24" s="27" t="s">
        <v>37</v>
      </c>
      <c r="N24" s="27" t="s">
        <v>41</v>
      </c>
      <c r="O24" s="40">
        <v>0.105</v>
      </c>
      <c r="P24" s="40">
        <v>0.542</v>
      </c>
      <c r="Q24" s="40">
        <v>81.8</v>
      </c>
      <c r="R24" s="40">
        <v>0.149</v>
      </c>
      <c r="S24" t="s">
        <v>42</v>
      </c>
      <c r="T24" s="40">
        <v>0</v>
      </c>
      <c r="U24" s="35">
        <v>4</v>
      </c>
      <c r="V24">
        <f t="shared" si="0"/>
        <v>-4</v>
      </c>
      <c r="W24" s="40">
        <v>0</v>
      </c>
      <c r="X24" s="40">
        <v>2</v>
      </c>
      <c r="Y24" s="40">
        <v>6</v>
      </c>
      <c r="Z24" s="27" t="s">
        <v>62</v>
      </c>
      <c r="AA24" s="37" t="s">
        <v>44</v>
      </c>
      <c r="AB24" s="49" t="s">
        <v>45</v>
      </c>
    </row>
    <row r="25" spans="1:28">
      <c r="A25" s="27" t="s">
        <v>497</v>
      </c>
      <c r="B25" s="27" t="s">
        <v>498</v>
      </c>
      <c r="C25" s="27" t="s">
        <v>499</v>
      </c>
      <c r="D25" s="27" t="s">
        <v>500</v>
      </c>
      <c r="E25" s="27" t="s">
        <v>504</v>
      </c>
      <c r="F25" s="27"/>
      <c r="G25" s="35">
        <v>4</v>
      </c>
      <c r="H25" s="27">
        <v>1</v>
      </c>
      <c r="I25" s="27">
        <v>3</v>
      </c>
      <c r="J25" s="27" t="s">
        <v>505</v>
      </c>
      <c r="K25" s="27" t="s">
        <v>506</v>
      </c>
      <c r="L25" s="27"/>
      <c r="M25" s="27" t="s">
        <v>37</v>
      </c>
      <c r="N25" s="27" t="s">
        <v>341</v>
      </c>
      <c r="O25" s="40">
        <v>0.0881</v>
      </c>
      <c r="P25" s="40">
        <v>0.52</v>
      </c>
      <c r="Q25" s="27">
        <v>0</v>
      </c>
      <c r="R25" s="27">
        <v>0.173</v>
      </c>
      <c r="S25" s="27"/>
      <c r="T25" s="40">
        <v>1</v>
      </c>
      <c r="U25" s="35">
        <v>4</v>
      </c>
      <c r="V25">
        <f t="shared" si="0"/>
        <v>-3</v>
      </c>
      <c r="W25" s="40">
        <v>1</v>
      </c>
      <c r="X25" s="40">
        <v>3</v>
      </c>
      <c r="Y25" s="40">
        <v>2</v>
      </c>
      <c r="Z25" s="27" t="s">
        <v>62</v>
      </c>
      <c r="AA25" s="27" t="s">
        <v>44</v>
      </c>
      <c r="AB25" s="38" t="s">
        <v>45</v>
      </c>
    </row>
    <row r="26" spans="1:28">
      <c r="A26" s="27" t="s">
        <v>507</v>
      </c>
      <c r="B26" s="27" t="s">
        <v>498</v>
      </c>
      <c r="C26" s="27" t="s">
        <v>499</v>
      </c>
      <c r="D26" s="27" t="s">
        <v>33</v>
      </c>
      <c r="E26" s="27" t="s">
        <v>38</v>
      </c>
      <c r="F26" s="27"/>
      <c r="G26" s="35">
        <v>4</v>
      </c>
      <c r="H26" s="27">
        <v>3</v>
      </c>
      <c r="I26" s="27">
        <v>1</v>
      </c>
      <c r="J26" s="27" t="s">
        <v>510</v>
      </c>
      <c r="K26" s="27" t="s">
        <v>511</v>
      </c>
      <c r="L26" s="40"/>
      <c r="M26" s="27" t="s">
        <v>37</v>
      </c>
      <c r="N26" s="27" t="s">
        <v>341</v>
      </c>
      <c r="O26" s="40">
        <v>0.218</v>
      </c>
      <c r="P26" s="40">
        <v>1</v>
      </c>
      <c r="Q26" s="40">
        <v>45.8</v>
      </c>
      <c r="R26" s="40">
        <v>0.701</v>
      </c>
      <c r="S26" s="27"/>
      <c r="T26" s="40">
        <v>87</v>
      </c>
      <c r="U26" s="35">
        <v>4</v>
      </c>
      <c r="V26">
        <f t="shared" si="0"/>
        <v>83</v>
      </c>
      <c r="W26" s="40">
        <v>354</v>
      </c>
      <c r="X26" s="40">
        <v>181</v>
      </c>
      <c r="Y26" s="40">
        <v>698</v>
      </c>
      <c r="Z26" s="27" t="s">
        <v>62</v>
      </c>
      <c r="AA26" s="27" t="s">
        <v>44</v>
      </c>
      <c r="AB26" s="38" t="s">
        <v>45</v>
      </c>
    </row>
    <row r="27" spans="1:28">
      <c r="A27" s="41" t="s">
        <v>525</v>
      </c>
      <c r="B27" s="42" t="s">
        <v>526</v>
      </c>
      <c r="C27" s="27" t="s">
        <v>514</v>
      </c>
      <c r="D27" s="27" t="s">
        <v>33</v>
      </c>
      <c r="E27" s="27" t="s">
        <v>38</v>
      </c>
      <c r="F27" s="27"/>
      <c r="G27" s="35">
        <v>6</v>
      </c>
      <c r="H27" s="27">
        <v>6</v>
      </c>
      <c r="I27" s="27">
        <v>0</v>
      </c>
      <c r="J27" s="27">
        <v>31459</v>
      </c>
      <c r="K27" s="27" t="s">
        <v>528</v>
      </c>
      <c r="M27" s="27" t="s">
        <v>517</v>
      </c>
      <c r="N27" s="27" t="s">
        <v>216</v>
      </c>
      <c r="O27">
        <v>0.666</v>
      </c>
      <c r="P27">
        <v>0.9</v>
      </c>
      <c r="Q27">
        <v>73.1</v>
      </c>
      <c r="R27">
        <v>0.635</v>
      </c>
      <c r="S27" t="s">
        <v>42</v>
      </c>
      <c r="T27">
        <v>73</v>
      </c>
      <c r="U27" s="35">
        <v>6</v>
      </c>
      <c r="V27">
        <f t="shared" si="0"/>
        <v>67</v>
      </c>
      <c r="W27">
        <v>30</v>
      </c>
      <c r="X27">
        <v>153</v>
      </c>
      <c r="Y27">
        <v>60</v>
      </c>
      <c r="Z27" s="27" t="s">
        <v>83</v>
      </c>
      <c r="AA27" s="37" t="s">
        <v>44</v>
      </c>
      <c r="AB27" s="38" t="s">
        <v>45</v>
      </c>
    </row>
    <row r="28" spans="1:28">
      <c r="A28" s="41" t="s">
        <v>529</v>
      </c>
      <c r="B28" s="42" t="s">
        <v>526</v>
      </c>
      <c r="C28" s="27" t="s">
        <v>499</v>
      </c>
      <c r="D28" s="27" t="s">
        <v>520</v>
      </c>
      <c r="E28" s="27" t="s">
        <v>523</v>
      </c>
      <c r="F28" s="27"/>
      <c r="G28" s="35">
        <v>6</v>
      </c>
      <c r="H28" s="27">
        <v>4</v>
      </c>
      <c r="I28" s="27">
        <v>2</v>
      </c>
      <c r="J28" s="27">
        <v>121682</v>
      </c>
      <c r="K28" s="27" t="s">
        <v>532</v>
      </c>
      <c r="M28" s="27" t="s">
        <v>517</v>
      </c>
      <c r="N28" s="27" t="s">
        <v>216</v>
      </c>
      <c r="O28">
        <v>0.097</v>
      </c>
      <c r="P28">
        <v>0.537</v>
      </c>
      <c r="Q28">
        <v>90.1</v>
      </c>
      <c r="R28">
        <v>0.741</v>
      </c>
      <c r="S28" t="s">
        <v>42</v>
      </c>
      <c r="T28">
        <v>371</v>
      </c>
      <c r="U28" s="35">
        <v>6</v>
      </c>
      <c r="V28">
        <f t="shared" si="0"/>
        <v>365</v>
      </c>
      <c r="W28">
        <v>10</v>
      </c>
      <c r="X28">
        <v>768</v>
      </c>
      <c r="Y28">
        <v>15</v>
      </c>
      <c r="Z28" s="27" t="s">
        <v>62</v>
      </c>
      <c r="AA28" s="37" t="s">
        <v>44</v>
      </c>
      <c r="AB28" s="38" t="s">
        <v>45</v>
      </c>
    </row>
    <row r="29" ht="28" spans="1:28">
      <c r="A29" s="34" t="s">
        <v>578</v>
      </c>
      <c r="B29" s="45" t="s">
        <v>579</v>
      </c>
      <c r="C29" s="52" t="s">
        <v>580</v>
      </c>
      <c r="D29" s="53" t="s">
        <v>562</v>
      </c>
      <c r="E29" s="34" t="s">
        <v>565</v>
      </c>
      <c r="F29" s="34"/>
      <c r="G29" s="46">
        <v>10</v>
      </c>
      <c r="H29" s="34">
        <v>5</v>
      </c>
      <c r="I29" s="34">
        <v>5</v>
      </c>
      <c r="J29" s="34" t="s">
        <v>583</v>
      </c>
      <c r="K29" s="47" t="s">
        <v>584</v>
      </c>
      <c r="L29" s="48">
        <v>1</v>
      </c>
      <c r="M29" s="34" t="s">
        <v>37</v>
      </c>
      <c r="N29" s="34" t="s">
        <v>216</v>
      </c>
      <c r="O29" s="48">
        <v>0.0835</v>
      </c>
      <c r="P29" s="48">
        <v>0.853</v>
      </c>
      <c r="Q29" s="48">
        <v>83.3</v>
      </c>
      <c r="R29" s="48">
        <v>0.0527</v>
      </c>
      <c r="S29" s="48" t="s">
        <v>42</v>
      </c>
      <c r="T29" s="48">
        <v>0</v>
      </c>
      <c r="U29" s="46">
        <v>10</v>
      </c>
      <c r="V29">
        <f t="shared" si="0"/>
        <v>-10</v>
      </c>
      <c r="W29" s="48" t="s">
        <v>159</v>
      </c>
      <c r="X29" s="48">
        <v>1</v>
      </c>
      <c r="Y29" s="48">
        <v>1</v>
      </c>
      <c r="Z29" s="34" t="s">
        <v>146</v>
      </c>
      <c r="AA29" s="34" t="s">
        <v>44</v>
      </c>
      <c r="AB29" s="49" t="s">
        <v>45</v>
      </c>
    </row>
    <row r="30" spans="1:28">
      <c r="A30" s="41" t="s">
        <v>628</v>
      </c>
      <c r="B30" s="42" t="s">
        <v>622</v>
      </c>
      <c r="C30" s="27" t="s">
        <v>623</v>
      </c>
      <c r="D30" s="27" t="s">
        <v>562</v>
      </c>
      <c r="E30" s="27" t="s">
        <v>565</v>
      </c>
      <c r="F30" s="27"/>
      <c r="G30" s="35">
        <v>8</v>
      </c>
      <c r="H30" s="27">
        <v>2</v>
      </c>
      <c r="I30" s="27">
        <v>6</v>
      </c>
      <c r="J30" s="27" t="s">
        <v>632</v>
      </c>
      <c r="K30" s="27" t="s">
        <v>633</v>
      </c>
      <c r="M30" s="27" t="s">
        <v>37</v>
      </c>
      <c r="N30" s="27" t="s">
        <v>216</v>
      </c>
      <c r="O30">
        <v>0.294</v>
      </c>
      <c r="P30">
        <v>0.361</v>
      </c>
      <c r="Q30">
        <v>58</v>
      </c>
      <c r="R30">
        <v>0.153</v>
      </c>
      <c r="S30" t="s">
        <v>42</v>
      </c>
      <c r="T30">
        <v>4</v>
      </c>
      <c r="U30" s="35">
        <v>8</v>
      </c>
      <c r="V30">
        <f t="shared" si="0"/>
        <v>-4</v>
      </c>
      <c r="W30">
        <v>2</v>
      </c>
      <c r="X30">
        <v>13</v>
      </c>
      <c r="Y30">
        <v>4</v>
      </c>
      <c r="Z30" s="27" t="s">
        <v>62</v>
      </c>
      <c r="AA30" s="37" t="s">
        <v>44</v>
      </c>
      <c r="AB30" s="38" t="s">
        <v>45</v>
      </c>
    </row>
    <row r="31" spans="1:28">
      <c r="A31" s="41" t="s">
        <v>649</v>
      </c>
      <c r="B31" s="42" t="s">
        <v>650</v>
      </c>
      <c r="C31" s="34" t="s">
        <v>651</v>
      </c>
      <c r="D31" s="27" t="s">
        <v>33</v>
      </c>
      <c r="E31" s="27" t="s">
        <v>38</v>
      </c>
      <c r="F31" s="27"/>
      <c r="G31" s="35">
        <v>5</v>
      </c>
      <c r="H31" s="27">
        <v>5</v>
      </c>
      <c r="I31" s="27">
        <v>0</v>
      </c>
      <c r="J31" s="27" t="s">
        <v>654</v>
      </c>
      <c r="K31" s="27" t="s">
        <v>655</v>
      </c>
      <c r="M31" s="27" t="s">
        <v>37</v>
      </c>
      <c r="N31" s="27" t="s">
        <v>216</v>
      </c>
      <c r="O31">
        <v>0.334</v>
      </c>
      <c r="P31">
        <v>1</v>
      </c>
      <c r="Q31">
        <v>11.6</v>
      </c>
      <c r="R31">
        <v>0.595</v>
      </c>
      <c r="S31" t="s">
        <v>42</v>
      </c>
      <c r="T31">
        <v>69</v>
      </c>
      <c r="U31" s="35">
        <v>5</v>
      </c>
      <c r="V31">
        <f t="shared" si="0"/>
        <v>64</v>
      </c>
      <c r="W31">
        <v>4</v>
      </c>
      <c r="X31">
        <v>143</v>
      </c>
      <c r="Y31">
        <v>6</v>
      </c>
      <c r="Z31" s="27" t="s">
        <v>43</v>
      </c>
      <c r="AA31" s="37" t="s">
        <v>44</v>
      </c>
      <c r="AB31" s="38" t="s">
        <v>45</v>
      </c>
    </row>
    <row r="32" spans="1:28">
      <c r="A32" s="41" t="s">
        <v>656</v>
      </c>
      <c r="B32" s="42" t="s">
        <v>650</v>
      </c>
      <c r="C32" s="34" t="s">
        <v>651</v>
      </c>
      <c r="D32" s="28" t="s">
        <v>562</v>
      </c>
      <c r="E32" s="27" t="s">
        <v>658</v>
      </c>
      <c r="F32" s="27"/>
      <c r="G32" s="35">
        <v>5</v>
      </c>
      <c r="H32" s="27">
        <v>5</v>
      </c>
      <c r="I32" s="27">
        <v>0</v>
      </c>
      <c r="J32" s="27" t="s">
        <v>659</v>
      </c>
      <c r="K32" s="27" t="s">
        <v>660</v>
      </c>
      <c r="M32" s="27" t="s">
        <v>37</v>
      </c>
      <c r="N32" s="27" t="s">
        <v>216</v>
      </c>
      <c r="O32">
        <v>0.179</v>
      </c>
      <c r="P32">
        <v>1</v>
      </c>
      <c r="Q32">
        <v>0</v>
      </c>
      <c r="R32">
        <v>0.499</v>
      </c>
      <c r="S32" t="s">
        <v>42</v>
      </c>
      <c r="T32">
        <v>32</v>
      </c>
      <c r="U32" s="35">
        <v>5</v>
      </c>
      <c r="V32">
        <f t="shared" si="0"/>
        <v>27</v>
      </c>
      <c r="W32">
        <v>43</v>
      </c>
      <c r="X32">
        <v>69</v>
      </c>
      <c r="Y32">
        <v>74</v>
      </c>
      <c r="Z32" s="27" t="s">
        <v>43</v>
      </c>
      <c r="AA32" s="37" t="s">
        <v>44</v>
      </c>
      <c r="AB32" s="38" t="s">
        <v>45</v>
      </c>
    </row>
    <row r="33" spans="1:28">
      <c r="A33" s="39" t="s">
        <v>715</v>
      </c>
      <c r="B33" s="27" t="s">
        <v>716</v>
      </c>
      <c r="C33" s="27" t="s">
        <v>717</v>
      </c>
      <c r="D33" s="27" t="s">
        <v>33</v>
      </c>
      <c r="E33" s="27" t="s">
        <v>38</v>
      </c>
      <c r="F33" s="27"/>
      <c r="G33" s="35">
        <v>4</v>
      </c>
      <c r="H33" s="27">
        <v>0</v>
      </c>
      <c r="I33" s="27">
        <v>4</v>
      </c>
      <c r="J33" s="27" t="s">
        <v>719</v>
      </c>
      <c r="K33" s="27" t="s">
        <v>720</v>
      </c>
      <c r="L33" s="40"/>
      <c r="M33" s="27" t="s">
        <v>37</v>
      </c>
      <c r="N33" s="27" t="s">
        <v>41</v>
      </c>
      <c r="O33" s="40">
        <v>0.398</v>
      </c>
      <c r="P33" s="40">
        <v>1</v>
      </c>
      <c r="Q33" s="40">
        <v>0</v>
      </c>
      <c r="R33" s="40">
        <v>0.193</v>
      </c>
      <c r="S33" s="27"/>
      <c r="T33" s="40">
        <v>28</v>
      </c>
      <c r="U33" s="35">
        <v>4</v>
      </c>
      <c r="V33">
        <f t="shared" si="0"/>
        <v>24</v>
      </c>
      <c r="W33" s="40">
        <v>36</v>
      </c>
      <c r="X33" s="40">
        <v>59</v>
      </c>
      <c r="Y33" s="40">
        <v>78</v>
      </c>
      <c r="Z33" s="27" t="s">
        <v>110</v>
      </c>
      <c r="AA33" s="27" t="s">
        <v>44</v>
      </c>
      <c r="AB33" s="38" t="s">
        <v>45</v>
      </c>
    </row>
    <row r="34" spans="1:28">
      <c r="A34" s="34" t="s">
        <v>721</v>
      </c>
      <c r="B34" s="45" t="s">
        <v>722</v>
      </c>
      <c r="C34" s="34" t="s">
        <v>717</v>
      </c>
      <c r="D34" s="34" t="s">
        <v>33</v>
      </c>
      <c r="E34" s="34" t="s">
        <v>38</v>
      </c>
      <c r="F34" s="34"/>
      <c r="G34" s="46">
        <v>7</v>
      </c>
      <c r="H34" s="34">
        <v>1</v>
      </c>
      <c r="I34" s="34">
        <v>6</v>
      </c>
      <c r="J34" s="34" t="s">
        <v>724</v>
      </c>
      <c r="K34" s="47" t="s">
        <v>725</v>
      </c>
      <c r="L34" s="48">
        <v>1</v>
      </c>
      <c r="M34" s="34" t="s">
        <v>37</v>
      </c>
      <c r="N34" s="34" t="s">
        <v>41</v>
      </c>
      <c r="O34" s="48">
        <v>0.139</v>
      </c>
      <c r="P34" s="48">
        <v>0.76</v>
      </c>
      <c r="Q34" s="48">
        <v>21.7</v>
      </c>
      <c r="R34" s="48">
        <v>0.057</v>
      </c>
      <c r="S34" s="48" t="s">
        <v>42</v>
      </c>
      <c r="T34" s="48">
        <v>0</v>
      </c>
      <c r="U34" s="46">
        <v>7</v>
      </c>
      <c r="V34">
        <f t="shared" si="0"/>
        <v>-7</v>
      </c>
      <c r="W34" s="48">
        <v>0</v>
      </c>
      <c r="X34" s="48">
        <v>4</v>
      </c>
      <c r="Y34" s="48">
        <v>2</v>
      </c>
      <c r="Z34" s="34" t="s">
        <v>110</v>
      </c>
      <c r="AA34" s="34" t="s">
        <v>44</v>
      </c>
      <c r="AB34" s="49" t="s">
        <v>45</v>
      </c>
    </row>
    <row r="35" spans="1:28">
      <c r="A35" s="39" t="s">
        <v>726</v>
      </c>
      <c r="B35" s="42" t="s">
        <v>727</v>
      </c>
      <c r="C35" s="27" t="s">
        <v>728</v>
      </c>
      <c r="D35" s="27" t="s">
        <v>33</v>
      </c>
      <c r="E35" s="27" t="s">
        <v>38</v>
      </c>
      <c r="F35" s="27"/>
      <c r="G35" s="35">
        <v>20</v>
      </c>
      <c r="H35" s="27">
        <v>0</v>
      </c>
      <c r="I35" s="27">
        <v>20</v>
      </c>
      <c r="J35" s="27" t="s">
        <v>731</v>
      </c>
      <c r="K35" s="27" t="s">
        <v>732</v>
      </c>
      <c r="L35" s="40"/>
      <c r="M35" s="27" t="s">
        <v>37</v>
      </c>
      <c r="N35" s="27" t="s">
        <v>216</v>
      </c>
      <c r="O35" s="40">
        <v>0.0902</v>
      </c>
      <c r="P35" s="40">
        <v>0.58</v>
      </c>
      <c r="Q35" s="40">
        <v>52.8</v>
      </c>
      <c r="R35" s="40">
        <v>0.544</v>
      </c>
      <c r="S35" s="27"/>
      <c r="T35" s="40">
        <v>156</v>
      </c>
      <c r="U35" s="35">
        <v>20</v>
      </c>
      <c r="V35">
        <f t="shared" si="0"/>
        <v>136</v>
      </c>
      <c r="W35" s="40">
        <v>430</v>
      </c>
      <c r="X35" s="40">
        <v>332</v>
      </c>
      <c r="Y35" s="40">
        <v>799</v>
      </c>
      <c r="Z35" s="27" t="s">
        <v>110</v>
      </c>
      <c r="AA35" s="27" t="s">
        <v>44</v>
      </c>
      <c r="AB35" s="38" t="s">
        <v>45</v>
      </c>
    </row>
    <row r="36" spans="1:28">
      <c r="A36" s="41" t="s">
        <v>733</v>
      </c>
      <c r="B36" s="42" t="s">
        <v>727</v>
      </c>
      <c r="C36" s="27" t="s">
        <v>734</v>
      </c>
      <c r="D36" s="34" t="s">
        <v>735</v>
      </c>
      <c r="E36" s="34" t="s">
        <v>737</v>
      </c>
      <c r="F36" s="27"/>
      <c r="G36" s="35">
        <v>13</v>
      </c>
      <c r="H36" s="27">
        <v>0</v>
      </c>
      <c r="I36" s="27">
        <v>13</v>
      </c>
      <c r="J36" s="27" t="s">
        <v>738</v>
      </c>
      <c r="K36" s="27" t="s">
        <v>739</v>
      </c>
      <c r="M36" s="27" t="s">
        <v>37</v>
      </c>
      <c r="N36" s="27" t="s">
        <v>216</v>
      </c>
      <c r="O36">
        <v>0.898</v>
      </c>
      <c r="P36">
        <v>0.575</v>
      </c>
      <c r="Q36">
        <v>0</v>
      </c>
      <c r="R36">
        <v>0.864</v>
      </c>
      <c r="S36" t="s">
        <v>42</v>
      </c>
      <c r="T36">
        <v>4114</v>
      </c>
      <c r="U36" s="35">
        <v>13</v>
      </c>
      <c r="V36">
        <f t="shared" si="0"/>
        <v>4101</v>
      </c>
      <c r="W36">
        <v>179</v>
      </c>
      <c r="X36" t="s">
        <v>159</v>
      </c>
      <c r="Y36">
        <v>346</v>
      </c>
      <c r="Z36" s="27" t="s">
        <v>110</v>
      </c>
      <c r="AA36" s="37" t="s">
        <v>44</v>
      </c>
      <c r="AB36" s="38" t="s">
        <v>45</v>
      </c>
    </row>
    <row r="37" spans="1:28">
      <c r="A37" s="33" t="s">
        <v>747</v>
      </c>
      <c r="B37" s="42" t="s">
        <v>748</v>
      </c>
      <c r="C37" s="27" t="s">
        <v>749</v>
      </c>
      <c r="D37" s="27" t="s">
        <v>750</v>
      </c>
      <c r="E37" s="27" t="s">
        <v>753</v>
      </c>
      <c r="F37" s="27" t="s">
        <v>751</v>
      </c>
      <c r="G37" s="35">
        <v>8</v>
      </c>
      <c r="H37" s="27">
        <v>0</v>
      </c>
      <c r="I37" s="27">
        <v>8</v>
      </c>
      <c r="J37" s="27" t="s">
        <v>754</v>
      </c>
      <c r="K37" s="27" t="s">
        <v>755</v>
      </c>
      <c r="L37" s="40"/>
      <c r="M37" s="27" t="s">
        <v>79</v>
      </c>
      <c r="N37" s="27" t="s">
        <v>41</v>
      </c>
      <c r="O37" s="40">
        <v>0.00544</v>
      </c>
      <c r="P37" s="40">
        <v>0.725</v>
      </c>
      <c r="Q37" s="40">
        <v>56.2</v>
      </c>
      <c r="R37" s="40">
        <v>0.145</v>
      </c>
      <c r="S37" t="s">
        <v>42</v>
      </c>
      <c r="T37" s="40">
        <v>1</v>
      </c>
      <c r="U37" s="35">
        <v>8</v>
      </c>
      <c r="V37">
        <f t="shared" si="0"/>
        <v>-7</v>
      </c>
      <c r="W37" s="40">
        <v>1</v>
      </c>
      <c r="X37" s="40">
        <v>7</v>
      </c>
      <c r="Y37" s="40">
        <v>6</v>
      </c>
      <c r="Z37" s="27" t="s">
        <v>62</v>
      </c>
      <c r="AA37" s="37" t="s">
        <v>44</v>
      </c>
      <c r="AB37" s="49" t="s">
        <v>45</v>
      </c>
    </row>
    <row r="38" spans="1:28">
      <c r="A38" s="39" t="s">
        <v>763</v>
      </c>
      <c r="B38" s="27" t="s">
        <v>764</v>
      </c>
      <c r="C38" s="27" t="s">
        <v>728</v>
      </c>
      <c r="D38" s="27" t="s">
        <v>33</v>
      </c>
      <c r="E38" s="27" t="s">
        <v>38</v>
      </c>
      <c r="F38" s="27"/>
      <c r="G38" s="35">
        <v>15</v>
      </c>
      <c r="H38" s="27">
        <v>0</v>
      </c>
      <c r="I38" s="27">
        <v>15</v>
      </c>
      <c r="J38" s="27" t="s">
        <v>767</v>
      </c>
      <c r="K38" s="27" t="s">
        <v>768</v>
      </c>
      <c r="L38" s="40"/>
      <c r="M38" s="27" t="s">
        <v>37</v>
      </c>
      <c r="N38" s="27" t="s">
        <v>41</v>
      </c>
      <c r="O38" s="40">
        <v>0.715</v>
      </c>
      <c r="P38" s="40">
        <v>0.54</v>
      </c>
      <c r="Q38" s="40">
        <v>0</v>
      </c>
      <c r="R38" s="40">
        <v>0.845</v>
      </c>
      <c r="S38" s="27"/>
      <c r="T38" s="40">
        <v>1036</v>
      </c>
      <c r="U38" s="35">
        <v>15</v>
      </c>
      <c r="V38">
        <f t="shared" si="0"/>
        <v>1021</v>
      </c>
      <c r="W38" s="40">
        <v>32</v>
      </c>
      <c r="X38" s="40" t="s">
        <v>159</v>
      </c>
      <c r="Y38" s="40">
        <v>56</v>
      </c>
      <c r="Z38" s="27" t="s">
        <v>110</v>
      </c>
      <c r="AA38" s="27" t="s">
        <v>44</v>
      </c>
      <c r="AB38" s="38" t="s">
        <v>45</v>
      </c>
    </row>
    <row r="39" spans="1:28">
      <c r="A39" s="41" t="s">
        <v>769</v>
      </c>
      <c r="B39" s="42" t="s">
        <v>764</v>
      </c>
      <c r="C39" s="27" t="s">
        <v>734</v>
      </c>
      <c r="D39" s="34" t="s">
        <v>735</v>
      </c>
      <c r="E39" s="34" t="s">
        <v>737</v>
      </c>
      <c r="F39" s="27"/>
      <c r="G39" s="35">
        <v>10</v>
      </c>
      <c r="H39" s="27">
        <v>0</v>
      </c>
      <c r="I39" s="27">
        <v>10</v>
      </c>
      <c r="J39" s="27" t="s">
        <v>772</v>
      </c>
      <c r="K39" s="27" t="s">
        <v>773</v>
      </c>
      <c r="M39" s="27" t="s">
        <v>37</v>
      </c>
      <c r="N39" s="27" t="s">
        <v>216</v>
      </c>
      <c r="O39">
        <v>0.79</v>
      </c>
      <c r="P39">
        <v>1</v>
      </c>
      <c r="Q39">
        <v>0</v>
      </c>
      <c r="R39">
        <v>0.16</v>
      </c>
      <c r="S39" t="s">
        <v>42</v>
      </c>
      <c r="T39">
        <v>10</v>
      </c>
      <c r="U39" s="35">
        <v>10</v>
      </c>
      <c r="V39">
        <f t="shared" si="0"/>
        <v>0</v>
      </c>
      <c r="W39">
        <v>32</v>
      </c>
      <c r="X39">
        <v>33</v>
      </c>
      <c r="Y39">
        <v>107</v>
      </c>
      <c r="Z39" s="27" t="s">
        <v>110</v>
      </c>
      <c r="AA39" s="37" t="s">
        <v>44</v>
      </c>
      <c r="AB39" s="38" t="s">
        <v>45</v>
      </c>
    </row>
    <row r="40" spans="1:28">
      <c r="A40" s="41" t="s">
        <v>774</v>
      </c>
      <c r="B40" s="42" t="s">
        <v>764</v>
      </c>
      <c r="C40" s="27" t="s">
        <v>734</v>
      </c>
      <c r="D40" s="34" t="s">
        <v>742</v>
      </c>
      <c r="E40" s="34" t="s">
        <v>745</v>
      </c>
      <c r="F40" s="27"/>
      <c r="G40" s="35">
        <v>7</v>
      </c>
      <c r="H40" s="27">
        <v>0</v>
      </c>
      <c r="I40" s="27">
        <v>7</v>
      </c>
      <c r="J40" s="27" t="s">
        <v>772</v>
      </c>
      <c r="K40" s="27" t="s">
        <v>777</v>
      </c>
      <c r="M40" s="27" t="s">
        <v>37</v>
      </c>
      <c r="N40" s="27" t="s">
        <v>216</v>
      </c>
      <c r="O40">
        <v>0.196</v>
      </c>
      <c r="P40">
        <v>0.644</v>
      </c>
      <c r="Q40">
        <v>46.8</v>
      </c>
      <c r="R40">
        <v>0.236</v>
      </c>
      <c r="S40" t="s">
        <v>42</v>
      </c>
      <c r="T40">
        <v>12</v>
      </c>
      <c r="U40" s="35">
        <v>7</v>
      </c>
      <c r="V40">
        <f t="shared" si="0"/>
        <v>5</v>
      </c>
      <c r="W40">
        <v>46</v>
      </c>
      <c r="X40">
        <v>33</v>
      </c>
      <c r="Y40">
        <v>123</v>
      </c>
      <c r="Z40" s="27" t="s">
        <v>110</v>
      </c>
      <c r="AA40" s="37" t="s">
        <v>44</v>
      </c>
      <c r="AB40" s="38" t="s">
        <v>45</v>
      </c>
    </row>
    <row r="41" ht="28" spans="1:28">
      <c r="A41" s="34" t="s">
        <v>786</v>
      </c>
      <c r="B41" s="45" t="s">
        <v>779</v>
      </c>
      <c r="C41" s="52" t="s">
        <v>780</v>
      </c>
      <c r="D41" s="53" t="s">
        <v>562</v>
      </c>
      <c r="E41" s="34" t="s">
        <v>565</v>
      </c>
      <c r="F41" s="34"/>
      <c r="G41" s="46">
        <v>8</v>
      </c>
      <c r="H41" s="34">
        <v>2</v>
      </c>
      <c r="I41" s="34">
        <v>6</v>
      </c>
      <c r="J41" s="34" t="s">
        <v>787</v>
      </c>
      <c r="K41" s="47" t="s">
        <v>788</v>
      </c>
      <c r="L41" s="48">
        <v>1</v>
      </c>
      <c r="M41" s="34" t="s">
        <v>79</v>
      </c>
      <c r="N41" s="34" t="s">
        <v>216</v>
      </c>
      <c r="O41" s="48">
        <v>0.129</v>
      </c>
      <c r="P41" s="48">
        <v>0.772</v>
      </c>
      <c r="Q41" s="48">
        <v>57</v>
      </c>
      <c r="R41" s="48">
        <v>0.0725</v>
      </c>
      <c r="S41" s="48" t="s">
        <v>42</v>
      </c>
      <c r="T41" s="7">
        <v>0</v>
      </c>
      <c r="U41" s="46">
        <v>8</v>
      </c>
      <c r="V41">
        <f t="shared" si="0"/>
        <v>-8</v>
      </c>
      <c r="W41" s="7">
        <v>194</v>
      </c>
      <c r="X41" s="7">
        <v>2</v>
      </c>
      <c r="Y41" s="7">
        <v>328</v>
      </c>
      <c r="Z41" s="34" t="s">
        <v>62</v>
      </c>
      <c r="AA41" s="34" t="s">
        <v>44</v>
      </c>
      <c r="AB41" s="49" t="s">
        <v>45</v>
      </c>
    </row>
    <row r="42" ht="28" spans="1:28">
      <c r="A42" s="34" t="s">
        <v>789</v>
      </c>
      <c r="B42" s="45" t="s">
        <v>790</v>
      </c>
      <c r="C42" s="52" t="s">
        <v>791</v>
      </c>
      <c r="D42" s="34" t="s">
        <v>438</v>
      </c>
      <c r="E42" s="34" t="s">
        <v>442</v>
      </c>
      <c r="F42" s="34"/>
      <c r="G42" s="46">
        <v>4</v>
      </c>
      <c r="H42" s="34">
        <v>1</v>
      </c>
      <c r="I42" s="34">
        <v>3</v>
      </c>
      <c r="J42" s="34" t="s">
        <v>793</v>
      </c>
      <c r="K42" s="47" t="s">
        <v>794</v>
      </c>
      <c r="L42" s="48">
        <v>1</v>
      </c>
      <c r="M42" s="34" t="s">
        <v>79</v>
      </c>
      <c r="N42" s="34" t="s">
        <v>216</v>
      </c>
      <c r="O42" s="48">
        <v>0.36</v>
      </c>
      <c r="P42" s="48">
        <v>1</v>
      </c>
      <c r="Q42" s="48">
        <v>0</v>
      </c>
      <c r="R42" s="48">
        <v>0.0676</v>
      </c>
      <c r="S42" s="48" t="s">
        <v>42</v>
      </c>
      <c r="T42" s="7">
        <v>0</v>
      </c>
      <c r="U42" s="46">
        <v>4</v>
      </c>
      <c r="V42">
        <f t="shared" si="0"/>
        <v>-4</v>
      </c>
      <c r="W42" s="7">
        <v>0</v>
      </c>
      <c r="X42" s="7">
        <v>1</v>
      </c>
      <c r="Y42" s="7">
        <v>1</v>
      </c>
      <c r="Z42" s="34" t="s">
        <v>110</v>
      </c>
      <c r="AA42" s="34" t="s">
        <v>44</v>
      </c>
      <c r="AB42" s="49" t="s">
        <v>45</v>
      </c>
    </row>
    <row r="43" spans="1:28">
      <c r="A43" s="34" t="s">
        <v>795</v>
      </c>
      <c r="B43" s="47" t="s">
        <v>790</v>
      </c>
      <c r="C43" s="34" t="s">
        <v>796</v>
      </c>
      <c r="D43" s="34" t="s">
        <v>33</v>
      </c>
      <c r="E43" s="34" t="s">
        <v>38</v>
      </c>
      <c r="F43" s="34"/>
      <c r="G43" s="46">
        <v>3</v>
      </c>
      <c r="H43" s="48">
        <v>0</v>
      </c>
      <c r="I43" s="48">
        <v>3</v>
      </c>
      <c r="J43" s="48" t="s">
        <v>797</v>
      </c>
      <c r="K43" s="47" t="s">
        <v>798</v>
      </c>
      <c r="L43" s="7">
        <v>1</v>
      </c>
      <c r="M43" s="34" t="s">
        <v>37</v>
      </c>
      <c r="N43" s="34" t="s">
        <v>341</v>
      </c>
      <c r="O43" s="40">
        <v>0.609</v>
      </c>
      <c r="P43" s="40">
        <v>1</v>
      </c>
      <c r="Q43" s="7">
        <v>0</v>
      </c>
      <c r="R43" s="7">
        <v>0.17</v>
      </c>
      <c r="S43" s="48"/>
      <c r="T43" s="40">
        <v>96</v>
      </c>
      <c r="U43" s="46">
        <v>3</v>
      </c>
      <c r="V43">
        <f t="shared" si="0"/>
        <v>93</v>
      </c>
      <c r="W43" s="40">
        <v>103</v>
      </c>
      <c r="X43" s="40">
        <v>197</v>
      </c>
      <c r="Y43" s="40">
        <v>213</v>
      </c>
      <c r="Z43" s="34" t="s">
        <v>110</v>
      </c>
      <c r="AA43" s="34" t="s">
        <v>44</v>
      </c>
      <c r="AB43" s="49" t="s">
        <v>45</v>
      </c>
    </row>
    <row r="44" ht="28" spans="1:28">
      <c r="A44" s="41" t="s">
        <v>799</v>
      </c>
      <c r="B44" s="42" t="s">
        <v>800</v>
      </c>
      <c r="C44" s="43" t="s">
        <v>801</v>
      </c>
      <c r="D44" s="27" t="s">
        <v>33</v>
      </c>
      <c r="E44" s="27" t="s">
        <v>38</v>
      </c>
      <c r="F44" s="27"/>
      <c r="G44" s="35">
        <v>14</v>
      </c>
      <c r="H44" s="27">
        <v>3</v>
      </c>
      <c r="I44" s="27">
        <v>11</v>
      </c>
      <c r="J44" s="27" t="s">
        <v>803</v>
      </c>
      <c r="K44" s="27" t="s">
        <v>804</v>
      </c>
      <c r="M44" s="27" t="s">
        <v>37</v>
      </c>
      <c r="N44" s="27" t="s">
        <v>216</v>
      </c>
      <c r="O44">
        <v>0.806</v>
      </c>
      <c r="P44">
        <v>1</v>
      </c>
      <c r="Q44">
        <v>0</v>
      </c>
      <c r="R44">
        <v>0.204</v>
      </c>
      <c r="S44" t="s">
        <v>42</v>
      </c>
      <c r="T44" s="7">
        <v>30</v>
      </c>
      <c r="U44" s="35">
        <v>14</v>
      </c>
      <c r="V44">
        <f t="shared" si="0"/>
        <v>16</v>
      </c>
      <c r="W44" s="7">
        <v>6</v>
      </c>
      <c r="X44" s="7">
        <v>74</v>
      </c>
      <c r="Y44" s="7">
        <v>9</v>
      </c>
      <c r="Z44" s="27" t="s">
        <v>62</v>
      </c>
      <c r="AA44" s="37" t="s">
        <v>44</v>
      </c>
      <c r="AB44" s="38" t="s">
        <v>45</v>
      </c>
    </row>
    <row r="45" ht="28" spans="1:28">
      <c r="A45" s="41" t="s">
        <v>805</v>
      </c>
      <c r="B45" s="42" t="s">
        <v>806</v>
      </c>
      <c r="C45" s="43" t="s">
        <v>791</v>
      </c>
      <c r="D45" s="27" t="s">
        <v>438</v>
      </c>
      <c r="E45" s="27" t="s">
        <v>442</v>
      </c>
      <c r="F45" s="27"/>
      <c r="G45" s="35">
        <v>5</v>
      </c>
      <c r="H45" s="27">
        <v>3</v>
      </c>
      <c r="I45" s="27">
        <v>2</v>
      </c>
      <c r="J45" s="27" t="s">
        <v>808</v>
      </c>
      <c r="K45" s="27" t="s">
        <v>809</v>
      </c>
      <c r="M45" s="27" t="s">
        <v>79</v>
      </c>
      <c r="N45" s="27" t="s">
        <v>216</v>
      </c>
      <c r="O45">
        <v>0.0258</v>
      </c>
      <c r="P45">
        <v>0.535</v>
      </c>
      <c r="Q45">
        <v>0</v>
      </c>
      <c r="R45">
        <v>0.108</v>
      </c>
      <c r="S45" t="s">
        <v>42</v>
      </c>
      <c r="T45" s="7">
        <v>1</v>
      </c>
      <c r="U45" s="35">
        <v>5</v>
      </c>
      <c r="V45">
        <f t="shared" si="0"/>
        <v>-4</v>
      </c>
      <c r="W45" s="7">
        <v>1</v>
      </c>
      <c r="X45" s="7">
        <v>6</v>
      </c>
      <c r="Y45" s="7">
        <v>2</v>
      </c>
      <c r="Z45" s="27" t="s">
        <v>110</v>
      </c>
      <c r="AA45" s="37" t="s">
        <v>44</v>
      </c>
      <c r="AB45" s="38" t="s">
        <v>45</v>
      </c>
    </row>
    <row r="46" ht="28" spans="1:28">
      <c r="A46" s="41" t="s">
        <v>810</v>
      </c>
      <c r="B46" s="42" t="s">
        <v>811</v>
      </c>
      <c r="C46" s="43" t="s">
        <v>791</v>
      </c>
      <c r="D46" s="27" t="s">
        <v>438</v>
      </c>
      <c r="E46" s="27" t="s">
        <v>442</v>
      </c>
      <c r="F46" s="27"/>
      <c r="G46" s="35">
        <v>5</v>
      </c>
      <c r="H46" s="27">
        <v>3</v>
      </c>
      <c r="I46" s="27">
        <v>2</v>
      </c>
      <c r="J46" s="27" t="s">
        <v>813</v>
      </c>
      <c r="K46" s="27" t="s">
        <v>814</v>
      </c>
      <c r="M46" s="27" t="s">
        <v>79</v>
      </c>
      <c r="N46" s="27" t="s">
        <v>216</v>
      </c>
      <c r="O46">
        <v>0.204</v>
      </c>
      <c r="P46">
        <v>0.36</v>
      </c>
      <c r="Q46">
        <v>0</v>
      </c>
      <c r="R46">
        <v>0.321</v>
      </c>
      <c r="S46" t="s">
        <v>42</v>
      </c>
      <c r="T46" s="40">
        <v>8</v>
      </c>
      <c r="U46" s="35">
        <v>5</v>
      </c>
      <c r="V46">
        <f t="shared" si="0"/>
        <v>3</v>
      </c>
      <c r="W46" s="40">
        <v>5</v>
      </c>
      <c r="X46" s="40">
        <v>20</v>
      </c>
      <c r="Y46" s="40">
        <v>12</v>
      </c>
      <c r="Z46" s="27" t="s">
        <v>110</v>
      </c>
      <c r="AA46" s="37" t="s">
        <v>44</v>
      </c>
      <c r="AB46" s="38" t="s">
        <v>45</v>
      </c>
    </row>
    <row r="47" spans="1:28">
      <c r="A47" s="41" t="s">
        <v>815</v>
      </c>
      <c r="B47" s="42" t="s">
        <v>816</v>
      </c>
      <c r="C47" s="27" t="s">
        <v>796</v>
      </c>
      <c r="D47" s="27" t="s">
        <v>33</v>
      </c>
      <c r="E47" s="27" t="s">
        <v>38</v>
      </c>
      <c r="F47" s="27"/>
      <c r="G47" s="35">
        <v>4</v>
      </c>
      <c r="H47" s="27">
        <v>0</v>
      </c>
      <c r="I47" s="27">
        <v>4</v>
      </c>
      <c r="J47" s="27" t="s">
        <v>818</v>
      </c>
      <c r="K47" s="27" t="s">
        <v>819</v>
      </c>
      <c r="L47" s="40"/>
      <c r="M47" s="27" t="s">
        <v>37</v>
      </c>
      <c r="N47" s="27" t="s">
        <v>216</v>
      </c>
      <c r="O47" s="40">
        <v>0.165</v>
      </c>
      <c r="P47" s="40">
        <v>1</v>
      </c>
      <c r="Q47" s="40">
        <v>57.5</v>
      </c>
      <c r="R47" s="40">
        <v>0.728</v>
      </c>
      <c r="T47" s="40">
        <v>93</v>
      </c>
      <c r="U47" s="35">
        <v>4</v>
      </c>
      <c r="V47">
        <f t="shared" si="0"/>
        <v>89</v>
      </c>
      <c r="W47" s="40">
        <v>8</v>
      </c>
      <c r="X47" s="40">
        <v>193</v>
      </c>
      <c r="Y47" s="40">
        <v>12</v>
      </c>
      <c r="Z47" s="27" t="s">
        <v>110</v>
      </c>
      <c r="AA47" s="37" t="s">
        <v>44</v>
      </c>
      <c r="AB47" s="38" t="s">
        <v>45</v>
      </c>
    </row>
    <row r="48" spans="1:28">
      <c r="A48" s="34" t="s">
        <v>833</v>
      </c>
      <c r="B48" s="47" t="s">
        <v>828</v>
      </c>
      <c r="C48" s="34" t="s">
        <v>829</v>
      </c>
      <c r="D48" s="34" t="s">
        <v>438</v>
      </c>
      <c r="E48" s="34" t="s">
        <v>442</v>
      </c>
      <c r="F48" s="34" t="s">
        <v>834</v>
      </c>
      <c r="G48" s="46">
        <v>3</v>
      </c>
      <c r="H48" s="34">
        <v>0</v>
      </c>
      <c r="I48" s="34">
        <v>3</v>
      </c>
      <c r="J48" s="34" t="s">
        <v>835</v>
      </c>
      <c r="K48" s="47" t="s">
        <v>836</v>
      </c>
      <c r="L48" s="48">
        <v>1</v>
      </c>
      <c r="M48" s="34" t="s">
        <v>37</v>
      </c>
      <c r="N48" s="34" t="s">
        <v>41</v>
      </c>
      <c r="O48" s="48">
        <v>0.76</v>
      </c>
      <c r="P48" s="54">
        <v>0.66</v>
      </c>
      <c r="Q48" s="48">
        <v>0</v>
      </c>
      <c r="R48" s="48">
        <v>0.0901</v>
      </c>
      <c r="S48" s="48" t="s">
        <v>42</v>
      </c>
      <c r="T48" s="48">
        <v>0</v>
      </c>
      <c r="U48" s="46">
        <v>3</v>
      </c>
      <c r="V48">
        <f t="shared" si="0"/>
        <v>-3</v>
      </c>
      <c r="W48" s="48">
        <v>0</v>
      </c>
      <c r="X48" s="48">
        <v>1</v>
      </c>
      <c r="Y48" s="48">
        <v>1</v>
      </c>
      <c r="Z48" s="34" t="s">
        <v>83</v>
      </c>
      <c r="AA48" s="34" t="s">
        <v>44</v>
      </c>
      <c r="AB48" s="49" t="s">
        <v>45</v>
      </c>
    </row>
    <row r="49" spans="1:28">
      <c r="A49" s="34" t="s">
        <v>837</v>
      </c>
      <c r="B49" s="47" t="s">
        <v>828</v>
      </c>
      <c r="C49" s="34" t="s">
        <v>829</v>
      </c>
      <c r="D49" s="34" t="s">
        <v>438</v>
      </c>
      <c r="E49" s="34" t="s">
        <v>442</v>
      </c>
      <c r="F49" s="34" t="s">
        <v>838</v>
      </c>
      <c r="G49" s="46">
        <v>3</v>
      </c>
      <c r="H49" s="34">
        <v>0</v>
      </c>
      <c r="I49" s="34">
        <v>3</v>
      </c>
      <c r="J49" s="34" t="s">
        <v>839</v>
      </c>
      <c r="K49" s="47" t="s">
        <v>840</v>
      </c>
      <c r="L49" s="48">
        <v>1</v>
      </c>
      <c r="M49" s="34" t="s">
        <v>37</v>
      </c>
      <c r="N49" s="34" t="s">
        <v>41</v>
      </c>
      <c r="O49" s="48">
        <v>0.0893</v>
      </c>
      <c r="P49" s="54">
        <v>0.465</v>
      </c>
      <c r="Q49" s="48">
        <v>31.1</v>
      </c>
      <c r="R49" s="48">
        <v>0.118</v>
      </c>
      <c r="S49" s="48" t="s">
        <v>42</v>
      </c>
      <c r="T49" s="48">
        <v>0</v>
      </c>
      <c r="U49" s="46">
        <v>3</v>
      </c>
      <c r="V49">
        <f t="shared" si="0"/>
        <v>-3</v>
      </c>
      <c r="W49" s="48">
        <v>0</v>
      </c>
      <c r="X49" s="48">
        <v>1</v>
      </c>
      <c r="Y49" s="48">
        <v>1</v>
      </c>
      <c r="Z49" s="34" t="s">
        <v>83</v>
      </c>
      <c r="AA49" s="34" t="s">
        <v>44</v>
      </c>
      <c r="AB49" s="49" t="s">
        <v>45</v>
      </c>
    </row>
    <row r="50" spans="1:28">
      <c r="A50" s="34" t="s">
        <v>841</v>
      </c>
      <c r="B50" s="47" t="s">
        <v>828</v>
      </c>
      <c r="C50" s="34" t="s">
        <v>829</v>
      </c>
      <c r="D50" s="34" t="s">
        <v>438</v>
      </c>
      <c r="E50" s="34" t="s">
        <v>442</v>
      </c>
      <c r="F50" s="34" t="s">
        <v>842</v>
      </c>
      <c r="G50" s="46">
        <v>4</v>
      </c>
      <c r="H50" s="34">
        <v>0</v>
      </c>
      <c r="I50" s="34">
        <v>4</v>
      </c>
      <c r="J50" s="34" t="s">
        <v>843</v>
      </c>
      <c r="K50" s="47" t="s">
        <v>844</v>
      </c>
      <c r="L50" s="48">
        <v>1</v>
      </c>
      <c r="M50" s="34" t="s">
        <v>37</v>
      </c>
      <c r="N50" s="34" t="s">
        <v>41</v>
      </c>
      <c r="O50" s="48">
        <v>0.954</v>
      </c>
      <c r="P50" s="54">
        <v>1</v>
      </c>
      <c r="Q50" s="48">
        <v>0</v>
      </c>
      <c r="R50" s="48">
        <v>0.136</v>
      </c>
      <c r="S50" s="48" t="s">
        <v>42</v>
      </c>
      <c r="T50" s="48">
        <v>1</v>
      </c>
      <c r="U50" s="46">
        <v>4</v>
      </c>
      <c r="V50">
        <f t="shared" si="0"/>
        <v>-3</v>
      </c>
      <c r="W50" s="48">
        <v>1</v>
      </c>
      <c r="X50" s="48">
        <v>3</v>
      </c>
      <c r="Y50" s="48">
        <v>7</v>
      </c>
      <c r="Z50" s="34" t="s">
        <v>83</v>
      </c>
      <c r="AA50" s="34" t="s">
        <v>44</v>
      </c>
      <c r="AB50" s="49" t="s">
        <v>45</v>
      </c>
    </row>
    <row r="51" ht="28" spans="1:28">
      <c r="A51" s="34" t="s">
        <v>850</v>
      </c>
      <c r="B51" s="45" t="s">
        <v>851</v>
      </c>
      <c r="C51" s="52" t="s">
        <v>822</v>
      </c>
      <c r="D51" s="34" t="s">
        <v>438</v>
      </c>
      <c r="E51" s="34" t="s">
        <v>442</v>
      </c>
      <c r="F51" s="34"/>
      <c r="G51" s="46">
        <v>3</v>
      </c>
      <c r="H51" s="34">
        <v>0</v>
      </c>
      <c r="I51" s="34">
        <v>3</v>
      </c>
      <c r="J51" s="34" t="s">
        <v>852</v>
      </c>
      <c r="K51" s="47" t="s">
        <v>853</v>
      </c>
      <c r="L51" s="48">
        <v>1</v>
      </c>
      <c r="M51" s="34" t="s">
        <v>79</v>
      </c>
      <c r="N51" s="34" t="s">
        <v>216</v>
      </c>
      <c r="O51" s="48">
        <v>0.147</v>
      </c>
      <c r="P51" s="48">
        <v>0.798</v>
      </c>
      <c r="Q51" s="48">
        <v>72.5</v>
      </c>
      <c r="R51" s="48">
        <v>0.102</v>
      </c>
      <c r="S51" s="48"/>
      <c r="T51" s="7">
        <v>0</v>
      </c>
      <c r="U51" s="46">
        <v>3</v>
      </c>
      <c r="V51">
        <f t="shared" si="0"/>
        <v>-3</v>
      </c>
      <c r="W51" s="7">
        <v>0</v>
      </c>
      <c r="X51" s="7">
        <v>1</v>
      </c>
      <c r="Y51" s="7">
        <v>1</v>
      </c>
      <c r="Z51" s="34" t="s">
        <v>83</v>
      </c>
      <c r="AA51" s="34" t="s">
        <v>44</v>
      </c>
      <c r="AB51" s="49" t="s">
        <v>45</v>
      </c>
    </row>
    <row r="52" ht="28" spans="1:28">
      <c r="A52" s="34" t="s">
        <v>859</v>
      </c>
      <c r="B52" s="45" t="s">
        <v>860</v>
      </c>
      <c r="C52" s="52" t="s">
        <v>822</v>
      </c>
      <c r="D52" s="34" t="s">
        <v>438</v>
      </c>
      <c r="E52" s="34" t="s">
        <v>442</v>
      </c>
      <c r="F52" s="34"/>
      <c r="G52" s="46">
        <v>3</v>
      </c>
      <c r="H52" s="34">
        <v>0</v>
      </c>
      <c r="I52" s="34">
        <v>3</v>
      </c>
      <c r="J52" s="34" t="s">
        <v>861</v>
      </c>
      <c r="K52" s="47" t="s">
        <v>862</v>
      </c>
      <c r="L52" s="48">
        <v>1</v>
      </c>
      <c r="M52" s="34" t="s">
        <v>79</v>
      </c>
      <c r="N52" s="34" t="s">
        <v>216</v>
      </c>
      <c r="O52" s="48">
        <v>0.96</v>
      </c>
      <c r="P52" s="48">
        <v>0.87</v>
      </c>
      <c r="Q52" s="48">
        <v>65.4</v>
      </c>
      <c r="R52" s="48">
        <v>0.0631</v>
      </c>
      <c r="S52" s="48"/>
      <c r="T52" s="7">
        <v>0</v>
      </c>
      <c r="U52" s="46">
        <v>3</v>
      </c>
      <c r="V52">
        <f t="shared" si="0"/>
        <v>-3</v>
      </c>
      <c r="W52" s="7" t="s">
        <v>159</v>
      </c>
      <c r="X52" s="7">
        <v>1</v>
      </c>
      <c r="Y52" s="7">
        <v>1</v>
      </c>
      <c r="Z52" s="34" t="s">
        <v>83</v>
      </c>
      <c r="AA52" s="34" t="s">
        <v>44</v>
      </c>
      <c r="AB52" s="49" t="s">
        <v>45</v>
      </c>
    </row>
    <row r="53" ht="28" spans="1:28">
      <c r="A53" s="41" t="s">
        <v>863</v>
      </c>
      <c r="B53" s="42" t="s">
        <v>864</v>
      </c>
      <c r="C53" s="43" t="s">
        <v>822</v>
      </c>
      <c r="D53" s="27" t="s">
        <v>438</v>
      </c>
      <c r="E53" s="27" t="s">
        <v>442</v>
      </c>
      <c r="F53" s="27"/>
      <c r="G53" s="35">
        <v>4</v>
      </c>
      <c r="H53" s="27">
        <v>0</v>
      </c>
      <c r="I53" s="27">
        <v>4</v>
      </c>
      <c r="J53" s="27" t="s">
        <v>866</v>
      </c>
      <c r="K53" s="27" t="s">
        <v>867</v>
      </c>
      <c r="M53" s="27" t="s">
        <v>79</v>
      </c>
      <c r="N53" s="27" t="s">
        <v>216</v>
      </c>
      <c r="O53">
        <v>0.273</v>
      </c>
      <c r="P53">
        <v>0.43</v>
      </c>
      <c r="Q53">
        <v>88.2</v>
      </c>
      <c r="R53">
        <v>0.559</v>
      </c>
      <c r="S53" t="s">
        <v>42</v>
      </c>
      <c r="T53" s="7">
        <v>34</v>
      </c>
      <c r="U53" s="35">
        <v>4</v>
      </c>
      <c r="V53">
        <f t="shared" si="0"/>
        <v>30</v>
      </c>
      <c r="W53" s="7">
        <v>41</v>
      </c>
      <c r="X53" s="7">
        <v>73</v>
      </c>
      <c r="Y53" s="7">
        <v>88</v>
      </c>
      <c r="Z53" s="27" t="s">
        <v>83</v>
      </c>
      <c r="AA53" s="37" t="s">
        <v>44</v>
      </c>
      <c r="AB53" s="38" t="s">
        <v>45</v>
      </c>
    </row>
    <row r="54" ht="28" spans="1:28">
      <c r="A54" s="41" t="s">
        <v>868</v>
      </c>
      <c r="B54" s="42" t="s">
        <v>869</v>
      </c>
      <c r="C54" s="43" t="s">
        <v>870</v>
      </c>
      <c r="D54" s="27" t="s">
        <v>33</v>
      </c>
      <c r="E54" s="27" t="s">
        <v>38</v>
      </c>
      <c r="F54" s="27"/>
      <c r="G54" s="55">
        <v>22</v>
      </c>
      <c r="H54" s="27">
        <v>5</v>
      </c>
      <c r="I54" s="27">
        <v>17</v>
      </c>
      <c r="J54" s="27" t="s">
        <v>874</v>
      </c>
      <c r="K54" s="27" t="s">
        <v>875</v>
      </c>
      <c r="L54" s="40"/>
      <c r="M54" s="27" t="s">
        <v>873</v>
      </c>
      <c r="N54" s="27" t="s">
        <v>216</v>
      </c>
      <c r="O54" s="40">
        <v>0.974</v>
      </c>
      <c r="P54" s="40">
        <v>0.777</v>
      </c>
      <c r="Q54" s="40">
        <v>44.5</v>
      </c>
      <c r="R54" s="40">
        <v>0.37</v>
      </c>
      <c r="S54" t="s">
        <v>42</v>
      </c>
      <c r="T54" s="40">
        <v>76</v>
      </c>
      <c r="U54" s="55">
        <v>22</v>
      </c>
      <c r="V54">
        <f t="shared" si="0"/>
        <v>54</v>
      </c>
      <c r="W54" s="40">
        <v>9</v>
      </c>
      <c r="X54" s="40">
        <v>170</v>
      </c>
      <c r="Y54" s="40">
        <v>15</v>
      </c>
      <c r="Z54" s="27" t="s">
        <v>83</v>
      </c>
      <c r="AA54" s="37" t="s">
        <v>44</v>
      </c>
      <c r="AB54" s="38" t="s">
        <v>45</v>
      </c>
    </row>
    <row r="55" ht="28" spans="1:28">
      <c r="A55" s="41" t="s">
        <v>894</v>
      </c>
      <c r="B55" s="42" t="s">
        <v>895</v>
      </c>
      <c r="C55" s="43" t="s">
        <v>791</v>
      </c>
      <c r="D55" s="27" t="s">
        <v>438</v>
      </c>
      <c r="E55" s="27" t="s">
        <v>442</v>
      </c>
      <c r="F55" s="27"/>
      <c r="G55" s="35">
        <v>7</v>
      </c>
      <c r="H55" s="27">
        <v>4</v>
      </c>
      <c r="I55" s="27">
        <v>3</v>
      </c>
      <c r="J55" s="27" t="s">
        <v>897</v>
      </c>
      <c r="K55" s="27" t="s">
        <v>898</v>
      </c>
      <c r="M55" s="27" t="s">
        <v>79</v>
      </c>
      <c r="N55" s="27" t="s">
        <v>216</v>
      </c>
      <c r="O55">
        <v>0.578</v>
      </c>
      <c r="P55">
        <v>1</v>
      </c>
      <c r="Q55">
        <v>0</v>
      </c>
      <c r="R55">
        <v>0.675</v>
      </c>
      <c r="T55" s="7">
        <v>376</v>
      </c>
      <c r="U55" s="35">
        <v>7</v>
      </c>
      <c r="V55">
        <f t="shared" si="0"/>
        <v>369</v>
      </c>
      <c r="W55" s="7">
        <v>897</v>
      </c>
      <c r="X55" s="7">
        <v>773</v>
      </c>
      <c r="Y55" s="7">
        <v>1845</v>
      </c>
      <c r="Z55" s="27" t="s">
        <v>110</v>
      </c>
      <c r="AA55" s="37" t="s">
        <v>44</v>
      </c>
      <c r="AB55" s="38" t="s">
        <v>45</v>
      </c>
    </row>
    <row r="56" ht="28" spans="1:28">
      <c r="A56" s="41" t="s">
        <v>899</v>
      </c>
      <c r="B56" s="42" t="s">
        <v>900</v>
      </c>
      <c r="C56" s="43" t="s">
        <v>791</v>
      </c>
      <c r="D56" s="27" t="s">
        <v>438</v>
      </c>
      <c r="E56" s="27" t="s">
        <v>442</v>
      </c>
      <c r="F56" s="27"/>
      <c r="G56" s="35">
        <v>4</v>
      </c>
      <c r="H56" s="27">
        <v>2</v>
      </c>
      <c r="I56" s="27">
        <v>2</v>
      </c>
      <c r="J56" s="27" t="s">
        <v>902</v>
      </c>
      <c r="K56" s="27" t="s">
        <v>903</v>
      </c>
      <c r="M56" s="27" t="s">
        <v>79</v>
      </c>
      <c r="N56" s="27" t="s">
        <v>216</v>
      </c>
      <c r="O56">
        <v>0.843</v>
      </c>
      <c r="P56">
        <v>1</v>
      </c>
      <c r="Q56">
        <v>0</v>
      </c>
      <c r="R56">
        <v>0.299</v>
      </c>
      <c r="S56" t="s">
        <v>42</v>
      </c>
      <c r="T56" s="7">
        <v>10</v>
      </c>
      <c r="U56" s="35">
        <v>4</v>
      </c>
      <c r="V56">
        <f t="shared" si="0"/>
        <v>6</v>
      </c>
      <c r="W56" s="7">
        <v>4</v>
      </c>
      <c r="X56" s="7">
        <v>23</v>
      </c>
      <c r="Y56" s="7">
        <v>8</v>
      </c>
      <c r="Z56" s="27" t="s">
        <v>110</v>
      </c>
      <c r="AA56" s="37" t="s">
        <v>44</v>
      </c>
      <c r="AB56" s="38" t="s">
        <v>45</v>
      </c>
    </row>
    <row r="57" spans="1:28">
      <c r="A57" s="41" t="s">
        <v>904</v>
      </c>
      <c r="B57" s="42" t="s">
        <v>905</v>
      </c>
      <c r="C57" s="27" t="s">
        <v>796</v>
      </c>
      <c r="D57" s="27" t="s">
        <v>33</v>
      </c>
      <c r="E57" s="27" t="s">
        <v>38</v>
      </c>
      <c r="F57" s="27"/>
      <c r="G57" s="35">
        <v>5</v>
      </c>
      <c r="H57" s="27">
        <v>0</v>
      </c>
      <c r="I57" s="27">
        <v>5</v>
      </c>
      <c r="J57" s="27" t="s">
        <v>907</v>
      </c>
      <c r="K57" s="27" t="s">
        <v>908</v>
      </c>
      <c r="L57" s="40"/>
      <c r="M57" s="27" t="s">
        <v>37</v>
      </c>
      <c r="N57" s="27" t="s">
        <v>216</v>
      </c>
      <c r="O57" s="40">
        <v>0.999</v>
      </c>
      <c r="P57" s="40">
        <v>1</v>
      </c>
      <c r="Q57">
        <v>0</v>
      </c>
      <c r="R57" s="40">
        <v>0.361</v>
      </c>
      <c r="S57" t="s">
        <v>42</v>
      </c>
      <c r="T57" s="40">
        <v>26</v>
      </c>
      <c r="U57" s="35">
        <v>5</v>
      </c>
      <c r="V57">
        <f t="shared" si="0"/>
        <v>21</v>
      </c>
      <c r="W57" s="40" t="s">
        <v>159</v>
      </c>
      <c r="X57" s="40">
        <v>57</v>
      </c>
      <c r="Y57" s="40" t="s">
        <v>159</v>
      </c>
      <c r="Z57" s="27" t="s">
        <v>110</v>
      </c>
      <c r="AA57" s="37" t="s">
        <v>44</v>
      </c>
      <c r="AB57" s="38" t="s">
        <v>45</v>
      </c>
    </row>
    <row r="58" spans="1:28">
      <c r="A58" s="41" t="s">
        <v>909</v>
      </c>
      <c r="B58" s="42" t="s">
        <v>910</v>
      </c>
      <c r="C58" s="27" t="s">
        <v>796</v>
      </c>
      <c r="D58" s="27" t="s">
        <v>33</v>
      </c>
      <c r="E58" s="27" t="s">
        <v>38</v>
      </c>
      <c r="F58" s="27"/>
      <c r="G58" s="35">
        <v>2</v>
      </c>
      <c r="H58" s="27">
        <v>0</v>
      </c>
      <c r="I58" s="27">
        <v>2</v>
      </c>
      <c r="J58" s="27" t="s">
        <v>912</v>
      </c>
      <c r="K58" s="27" t="s">
        <v>913</v>
      </c>
      <c r="L58" s="40"/>
      <c r="M58" s="27" t="s">
        <v>37</v>
      </c>
      <c r="N58" s="27" t="s">
        <v>216</v>
      </c>
      <c r="O58" t="s">
        <v>43</v>
      </c>
      <c r="P58">
        <v>1</v>
      </c>
      <c r="Q58" s="40">
        <v>13.6</v>
      </c>
      <c r="R58" s="40">
        <v>0.534</v>
      </c>
      <c r="S58" t="s">
        <v>42</v>
      </c>
      <c r="T58" s="40">
        <v>8</v>
      </c>
      <c r="U58" s="35">
        <v>2</v>
      </c>
      <c r="V58">
        <f t="shared" si="0"/>
        <v>6</v>
      </c>
      <c r="W58" s="40">
        <v>3</v>
      </c>
      <c r="X58" s="40">
        <v>17</v>
      </c>
      <c r="Y58" s="40">
        <v>5</v>
      </c>
      <c r="Z58" s="27" t="s">
        <v>110</v>
      </c>
      <c r="AA58" s="37" t="s">
        <v>44</v>
      </c>
      <c r="AB58" s="38" t="s">
        <v>45</v>
      </c>
    </row>
    <row r="59" ht="28" spans="1:28">
      <c r="A59" s="41" t="s">
        <v>922</v>
      </c>
      <c r="B59" s="42" t="s">
        <v>916</v>
      </c>
      <c r="C59" s="43" t="s">
        <v>917</v>
      </c>
      <c r="D59" s="27" t="s">
        <v>562</v>
      </c>
      <c r="E59" s="27" t="s">
        <v>926</v>
      </c>
      <c r="F59" s="27"/>
      <c r="G59" s="35">
        <v>3</v>
      </c>
      <c r="H59" s="27">
        <v>2</v>
      </c>
      <c r="I59" s="27">
        <v>1</v>
      </c>
      <c r="J59" s="27" t="s">
        <v>927</v>
      </c>
      <c r="K59" s="27" t="s">
        <v>928</v>
      </c>
      <c r="M59" s="27" t="s">
        <v>37</v>
      </c>
      <c r="N59" s="27" t="s">
        <v>216</v>
      </c>
      <c r="O59">
        <v>0.00244</v>
      </c>
      <c r="P59">
        <v>0.278</v>
      </c>
      <c r="Q59">
        <v>0</v>
      </c>
      <c r="R59">
        <v>0.749</v>
      </c>
      <c r="S59" t="s">
        <v>42</v>
      </c>
      <c r="T59" s="7">
        <v>150</v>
      </c>
      <c r="U59" s="35">
        <v>3</v>
      </c>
      <c r="V59">
        <f t="shared" si="0"/>
        <v>147</v>
      </c>
      <c r="W59" s="7">
        <v>62</v>
      </c>
      <c r="X59" s="7">
        <v>310</v>
      </c>
      <c r="Y59" s="7">
        <v>126</v>
      </c>
      <c r="Z59" s="27" t="s">
        <v>83</v>
      </c>
      <c r="AA59" s="37" t="s">
        <v>44</v>
      </c>
      <c r="AB59" s="38" t="s">
        <v>45</v>
      </c>
    </row>
    <row r="60" ht="28" spans="1:28">
      <c r="A60" s="41" t="s">
        <v>966</v>
      </c>
      <c r="B60" s="27" t="s">
        <v>936</v>
      </c>
      <c r="C60" s="43" t="s">
        <v>917</v>
      </c>
      <c r="D60" s="27" t="s">
        <v>562</v>
      </c>
      <c r="E60" s="27" t="s">
        <v>926</v>
      </c>
      <c r="F60" s="27"/>
      <c r="G60" s="35">
        <v>2</v>
      </c>
      <c r="H60" s="27">
        <v>2</v>
      </c>
      <c r="I60" s="27">
        <v>0</v>
      </c>
      <c r="J60" s="27" t="s">
        <v>970</v>
      </c>
      <c r="K60" s="27" t="s">
        <v>971</v>
      </c>
      <c r="M60" s="27" t="s">
        <v>37</v>
      </c>
      <c r="N60" s="27" t="s">
        <v>216</v>
      </c>
      <c r="O60">
        <v>0.202</v>
      </c>
      <c r="P60">
        <v>0.15</v>
      </c>
      <c r="Q60">
        <v>0.3</v>
      </c>
      <c r="R60">
        <v>0.889</v>
      </c>
      <c r="S60" t="s">
        <v>42</v>
      </c>
      <c r="T60" s="7">
        <v>178</v>
      </c>
      <c r="U60" s="35">
        <v>2</v>
      </c>
      <c r="V60">
        <f t="shared" si="0"/>
        <v>176</v>
      </c>
      <c r="W60" s="7">
        <v>23</v>
      </c>
      <c r="X60" s="7">
        <v>365</v>
      </c>
      <c r="Y60" s="7">
        <v>46</v>
      </c>
      <c r="Z60" s="27" t="s">
        <v>83</v>
      </c>
      <c r="AA60" s="37" t="s">
        <v>44</v>
      </c>
      <c r="AB60" s="38" t="s">
        <v>45</v>
      </c>
    </row>
    <row r="61" ht="28" spans="1:28">
      <c r="A61" s="41" t="s">
        <v>972</v>
      </c>
      <c r="B61" s="27" t="s">
        <v>936</v>
      </c>
      <c r="C61" s="43" t="s">
        <v>917</v>
      </c>
      <c r="D61" s="27" t="s">
        <v>562</v>
      </c>
      <c r="E61" s="27" t="s">
        <v>932</v>
      </c>
      <c r="F61" s="27"/>
      <c r="G61" s="35">
        <v>3</v>
      </c>
      <c r="H61" s="27">
        <v>0</v>
      </c>
      <c r="I61" s="27">
        <v>3</v>
      </c>
      <c r="J61" s="27" t="s">
        <v>974</v>
      </c>
      <c r="K61" s="27" t="s">
        <v>975</v>
      </c>
      <c r="M61" s="27" t="s">
        <v>37</v>
      </c>
      <c r="N61" s="27" t="s">
        <v>216</v>
      </c>
      <c r="O61">
        <v>0.315</v>
      </c>
      <c r="P61">
        <v>0.315</v>
      </c>
      <c r="Q61">
        <v>72.6</v>
      </c>
      <c r="R61">
        <v>0.505</v>
      </c>
      <c r="S61" t="s">
        <v>42</v>
      </c>
      <c r="T61" s="7">
        <v>10</v>
      </c>
      <c r="U61" s="35">
        <v>3</v>
      </c>
      <c r="V61">
        <f t="shared" si="0"/>
        <v>7</v>
      </c>
      <c r="W61" s="7">
        <v>5</v>
      </c>
      <c r="X61" s="7">
        <v>22</v>
      </c>
      <c r="Y61" s="7">
        <v>10</v>
      </c>
      <c r="Z61" s="27" t="s">
        <v>83</v>
      </c>
      <c r="AA61" s="37" t="s">
        <v>44</v>
      </c>
      <c r="AB61" s="38" t="s">
        <v>45</v>
      </c>
    </row>
    <row r="62" spans="1:28">
      <c r="A62" s="33" t="s">
        <v>984</v>
      </c>
      <c r="B62" s="42" t="s">
        <v>977</v>
      </c>
      <c r="C62" s="27" t="s">
        <v>978</v>
      </c>
      <c r="D62" s="27" t="s">
        <v>438</v>
      </c>
      <c r="E62" s="27" t="s">
        <v>442</v>
      </c>
      <c r="F62" s="27" t="s">
        <v>985</v>
      </c>
      <c r="G62" s="35">
        <v>2</v>
      </c>
      <c r="H62" s="27">
        <v>0</v>
      </c>
      <c r="I62" s="27">
        <v>2</v>
      </c>
      <c r="J62" s="27" t="s">
        <v>987</v>
      </c>
      <c r="K62" s="27" t="s">
        <v>988</v>
      </c>
      <c r="M62" s="27" t="s">
        <v>37</v>
      </c>
      <c r="N62" s="27" t="s">
        <v>41</v>
      </c>
      <c r="O62">
        <v>0.598</v>
      </c>
      <c r="P62" s="36">
        <v>0.671</v>
      </c>
      <c r="Q62">
        <v>48.6</v>
      </c>
      <c r="R62">
        <v>0.746</v>
      </c>
      <c r="S62" t="s">
        <v>42</v>
      </c>
      <c r="T62">
        <v>252</v>
      </c>
      <c r="U62" s="35">
        <v>2</v>
      </c>
      <c r="V62">
        <f t="shared" si="0"/>
        <v>250</v>
      </c>
      <c r="W62">
        <v>159</v>
      </c>
      <c r="X62">
        <v>519</v>
      </c>
      <c r="Y62">
        <v>326</v>
      </c>
      <c r="Z62" s="27" t="s">
        <v>62</v>
      </c>
      <c r="AA62" s="37" t="s">
        <v>44</v>
      </c>
      <c r="AB62" s="49" t="s">
        <v>62</v>
      </c>
    </row>
    <row r="63" ht="28" spans="1:28">
      <c r="A63" s="41" t="s">
        <v>1014</v>
      </c>
      <c r="B63" s="42" t="s">
        <v>1015</v>
      </c>
      <c r="C63" s="43" t="s">
        <v>1016</v>
      </c>
      <c r="D63" s="27" t="s">
        <v>33</v>
      </c>
      <c r="E63" s="27" t="s">
        <v>38</v>
      </c>
      <c r="F63" s="27"/>
      <c r="G63" s="55">
        <v>14</v>
      </c>
      <c r="H63" s="27">
        <v>5</v>
      </c>
      <c r="I63" s="27">
        <v>9</v>
      </c>
      <c r="J63" s="27" t="s">
        <v>1019</v>
      </c>
      <c r="K63" s="27" t="s">
        <v>1020</v>
      </c>
      <c r="L63" s="40"/>
      <c r="M63" s="27" t="s">
        <v>37</v>
      </c>
      <c r="N63" s="27" t="s">
        <v>216</v>
      </c>
      <c r="O63" s="40">
        <v>0.586</v>
      </c>
      <c r="P63" s="40">
        <v>0.0845</v>
      </c>
      <c r="Q63" s="40">
        <v>67</v>
      </c>
      <c r="R63" s="40">
        <v>0.71</v>
      </c>
      <c r="S63" t="s">
        <v>42</v>
      </c>
      <c r="T63" s="40">
        <v>250</v>
      </c>
      <c r="U63" s="55">
        <v>14</v>
      </c>
      <c r="V63">
        <f t="shared" si="0"/>
        <v>236</v>
      </c>
      <c r="W63" s="40">
        <v>21</v>
      </c>
      <c r="X63" s="40">
        <v>522</v>
      </c>
      <c r="Y63" s="40">
        <v>35</v>
      </c>
      <c r="Z63" s="27" t="s">
        <v>62</v>
      </c>
      <c r="AA63" s="37" t="s">
        <v>44</v>
      </c>
      <c r="AB63" s="38" t="s">
        <v>45</v>
      </c>
    </row>
    <row r="64" ht="28" spans="1:28">
      <c r="A64" s="41" t="s">
        <v>1021</v>
      </c>
      <c r="B64" s="42" t="s">
        <v>1015</v>
      </c>
      <c r="C64" s="43" t="s">
        <v>1022</v>
      </c>
      <c r="D64" s="28" t="s">
        <v>556</v>
      </c>
      <c r="E64" s="27" t="s">
        <v>558</v>
      </c>
      <c r="F64" s="27"/>
      <c r="G64" s="35">
        <v>22</v>
      </c>
      <c r="H64" s="27">
        <v>7</v>
      </c>
      <c r="I64" s="27">
        <v>15</v>
      </c>
      <c r="J64" s="27" t="s">
        <v>1025</v>
      </c>
      <c r="K64" s="27" t="s">
        <v>1026</v>
      </c>
      <c r="M64" s="27" t="s">
        <v>37</v>
      </c>
      <c r="N64" s="27" t="s">
        <v>1027</v>
      </c>
      <c r="O64">
        <v>0.146</v>
      </c>
      <c r="P64">
        <v>0.288</v>
      </c>
      <c r="Q64">
        <v>94.8</v>
      </c>
      <c r="R64">
        <v>0.138</v>
      </c>
      <c r="S64" t="s">
        <v>42</v>
      </c>
      <c r="T64" s="7">
        <v>11</v>
      </c>
      <c r="U64" s="35">
        <v>22</v>
      </c>
      <c r="V64">
        <f t="shared" si="0"/>
        <v>-11</v>
      </c>
      <c r="W64" s="7">
        <v>9</v>
      </c>
      <c r="X64" s="7">
        <v>37</v>
      </c>
      <c r="Y64" s="7">
        <v>30</v>
      </c>
      <c r="Z64" s="27" t="s">
        <v>62</v>
      </c>
      <c r="AA64" s="37" t="s">
        <v>44</v>
      </c>
      <c r="AB64" s="38" t="s">
        <v>45</v>
      </c>
    </row>
    <row r="65" ht="28" spans="1:28">
      <c r="A65" s="41" t="s">
        <v>1028</v>
      </c>
      <c r="B65" s="42" t="s">
        <v>1015</v>
      </c>
      <c r="C65" s="43" t="s">
        <v>917</v>
      </c>
      <c r="D65" s="27" t="s">
        <v>562</v>
      </c>
      <c r="E65" s="27" t="s">
        <v>926</v>
      </c>
      <c r="F65" s="27"/>
      <c r="G65" s="35">
        <v>2</v>
      </c>
      <c r="H65" s="27">
        <v>2</v>
      </c>
      <c r="I65" s="27">
        <v>0</v>
      </c>
      <c r="J65" s="27" t="s">
        <v>1030</v>
      </c>
      <c r="K65" s="27" t="s">
        <v>1031</v>
      </c>
      <c r="L65" s="40"/>
      <c r="M65" s="27" t="s">
        <v>37</v>
      </c>
      <c r="N65" s="27" t="s">
        <v>216</v>
      </c>
      <c r="O65" s="40">
        <v>0.0544</v>
      </c>
      <c r="P65" s="40">
        <v>1</v>
      </c>
      <c r="Q65" s="40">
        <v>0</v>
      </c>
      <c r="R65" s="40">
        <v>0.434</v>
      </c>
      <c r="T65" s="7">
        <v>23</v>
      </c>
      <c r="U65" s="35">
        <v>2</v>
      </c>
      <c r="V65">
        <f t="shared" si="0"/>
        <v>21</v>
      </c>
      <c r="W65" s="7">
        <v>45</v>
      </c>
      <c r="X65" s="7">
        <v>48</v>
      </c>
      <c r="Y65" s="7">
        <v>96</v>
      </c>
      <c r="Z65" s="27" t="s">
        <v>83</v>
      </c>
      <c r="AA65" s="37" t="s">
        <v>44</v>
      </c>
      <c r="AB65" s="38" t="s">
        <v>45</v>
      </c>
    </row>
    <row r="66" ht="28" spans="1:28">
      <c r="A66" s="41" t="s">
        <v>1061</v>
      </c>
      <c r="B66" s="42" t="s">
        <v>1062</v>
      </c>
      <c r="C66" s="43" t="s">
        <v>1063</v>
      </c>
      <c r="D66" s="27" t="s">
        <v>33</v>
      </c>
      <c r="E66" s="27" t="s">
        <v>38</v>
      </c>
      <c r="F66" s="27"/>
      <c r="G66" s="35">
        <v>3</v>
      </c>
      <c r="H66" s="27">
        <v>1</v>
      </c>
      <c r="I66" s="27">
        <v>2</v>
      </c>
      <c r="J66" s="27" t="s">
        <v>1066</v>
      </c>
      <c r="K66" s="27" t="s">
        <v>1067</v>
      </c>
      <c r="M66" s="27" t="s">
        <v>37</v>
      </c>
      <c r="N66" s="27" t="s">
        <v>216</v>
      </c>
      <c r="O66">
        <v>0.374</v>
      </c>
      <c r="P66">
        <v>0.77</v>
      </c>
      <c r="Q66">
        <v>90.6</v>
      </c>
      <c r="R66">
        <v>0.259</v>
      </c>
      <c r="S66" t="s">
        <v>42</v>
      </c>
      <c r="T66" s="7">
        <v>2</v>
      </c>
      <c r="U66" s="35">
        <v>3</v>
      </c>
      <c r="V66">
        <f t="shared" ref="V66:V83" si="1">T66-U66</f>
        <v>-1</v>
      </c>
      <c r="W66" s="7">
        <v>23</v>
      </c>
      <c r="X66" s="7">
        <v>5</v>
      </c>
      <c r="Y66" s="7">
        <v>63</v>
      </c>
      <c r="Z66" s="27" t="s">
        <v>62</v>
      </c>
      <c r="AA66" s="37" t="s">
        <v>44</v>
      </c>
      <c r="AB66" s="38" t="s">
        <v>45</v>
      </c>
    </row>
    <row r="67" ht="28" spans="1:28">
      <c r="A67" s="41" t="s">
        <v>1082</v>
      </c>
      <c r="B67" s="42" t="s">
        <v>1075</v>
      </c>
      <c r="C67" s="43" t="s">
        <v>1076</v>
      </c>
      <c r="D67" s="34" t="s">
        <v>568</v>
      </c>
      <c r="E67" s="34" t="s">
        <v>571</v>
      </c>
      <c r="F67" s="27"/>
      <c r="G67" s="35">
        <v>4</v>
      </c>
      <c r="H67" s="27">
        <v>2</v>
      </c>
      <c r="I67" s="27">
        <v>2</v>
      </c>
      <c r="J67" s="27" t="s">
        <v>1084</v>
      </c>
      <c r="K67" s="27" t="s">
        <v>1085</v>
      </c>
      <c r="M67" s="27" t="s">
        <v>79</v>
      </c>
      <c r="N67" s="27" t="s">
        <v>216</v>
      </c>
      <c r="O67">
        <v>0.0171</v>
      </c>
      <c r="P67">
        <v>0.557</v>
      </c>
      <c r="Q67">
        <v>41.5</v>
      </c>
      <c r="R67">
        <v>0.398</v>
      </c>
      <c r="S67" t="s">
        <v>42</v>
      </c>
      <c r="T67">
        <v>46</v>
      </c>
      <c r="U67" s="35">
        <v>4</v>
      </c>
      <c r="V67">
        <f t="shared" si="1"/>
        <v>42</v>
      </c>
      <c r="W67">
        <v>14</v>
      </c>
      <c r="X67">
        <v>102</v>
      </c>
      <c r="Y67">
        <v>19</v>
      </c>
      <c r="Z67" s="27" t="s">
        <v>146</v>
      </c>
      <c r="AA67" s="37" t="s">
        <v>44</v>
      </c>
      <c r="AB67" s="38" t="s">
        <v>45</v>
      </c>
    </row>
    <row r="68" spans="1:28">
      <c r="A68" s="34" t="s">
        <v>1143</v>
      </c>
      <c r="B68" s="45" t="s">
        <v>1144</v>
      </c>
      <c r="C68" s="34" t="s">
        <v>1145</v>
      </c>
      <c r="D68" s="34" t="s">
        <v>438</v>
      </c>
      <c r="E68" s="34" t="s">
        <v>442</v>
      </c>
      <c r="F68" s="34"/>
      <c r="G68" s="46">
        <v>3</v>
      </c>
      <c r="H68" s="34">
        <v>2</v>
      </c>
      <c r="I68" s="34">
        <v>1</v>
      </c>
      <c r="J68" s="34" t="s">
        <v>1146</v>
      </c>
      <c r="K68" s="47" t="s">
        <v>1147</v>
      </c>
      <c r="L68" s="48">
        <v>1</v>
      </c>
      <c r="M68" s="34" t="s">
        <v>37</v>
      </c>
      <c r="N68" s="34" t="s">
        <v>216</v>
      </c>
      <c r="O68" s="48">
        <v>0.0403</v>
      </c>
      <c r="P68" s="48">
        <v>0.156</v>
      </c>
      <c r="Q68" s="48">
        <v>54.1</v>
      </c>
      <c r="R68" s="48">
        <v>0.101</v>
      </c>
      <c r="S68" s="48" t="s">
        <v>42</v>
      </c>
      <c r="T68" s="48">
        <v>0</v>
      </c>
      <c r="U68" s="46">
        <v>3</v>
      </c>
      <c r="V68">
        <f t="shared" si="1"/>
        <v>-3</v>
      </c>
      <c r="W68" s="48" t="s">
        <v>159</v>
      </c>
      <c r="X68" s="48">
        <v>1</v>
      </c>
      <c r="Y68" s="48">
        <v>1</v>
      </c>
      <c r="Z68" s="34" t="s">
        <v>83</v>
      </c>
      <c r="AA68" s="34" t="s">
        <v>44</v>
      </c>
      <c r="AB68" s="49" t="s">
        <v>45</v>
      </c>
    </row>
    <row r="69" spans="1:28">
      <c r="A69" s="34" t="s">
        <v>1148</v>
      </c>
      <c r="B69" s="45" t="s">
        <v>1149</v>
      </c>
      <c r="C69" s="34" t="s">
        <v>1150</v>
      </c>
      <c r="D69" s="34" t="s">
        <v>548</v>
      </c>
      <c r="E69" s="34" t="s">
        <v>552</v>
      </c>
      <c r="F69" s="34"/>
      <c r="G69" s="46">
        <v>4</v>
      </c>
      <c r="H69" s="34">
        <v>1</v>
      </c>
      <c r="I69" s="34">
        <v>3</v>
      </c>
      <c r="J69" s="34" t="s">
        <v>1151</v>
      </c>
      <c r="K69" s="47" t="s">
        <v>1152</v>
      </c>
      <c r="L69" s="48">
        <v>1</v>
      </c>
      <c r="M69" s="34" t="s">
        <v>37</v>
      </c>
      <c r="N69" s="34" t="s">
        <v>216</v>
      </c>
      <c r="O69" s="48">
        <v>0.109</v>
      </c>
      <c r="P69" s="48">
        <v>0.372</v>
      </c>
      <c r="Q69" s="48">
        <v>15.8</v>
      </c>
      <c r="R69" s="48">
        <v>0.0728</v>
      </c>
      <c r="S69" s="48" t="s">
        <v>42</v>
      </c>
      <c r="T69" s="48">
        <v>0</v>
      </c>
      <c r="U69" s="46">
        <v>4</v>
      </c>
      <c r="V69">
        <f t="shared" si="1"/>
        <v>-4</v>
      </c>
      <c r="W69" s="48" t="s">
        <v>159</v>
      </c>
      <c r="X69" s="48">
        <v>1</v>
      </c>
      <c r="Y69" s="48">
        <v>1</v>
      </c>
      <c r="Z69" s="34" t="s">
        <v>146</v>
      </c>
      <c r="AA69" s="34" t="s">
        <v>44</v>
      </c>
      <c r="AB69" s="49" t="s">
        <v>45</v>
      </c>
    </row>
    <row r="70" spans="1:28">
      <c r="A70" s="27" t="s">
        <v>1158</v>
      </c>
      <c r="B70" s="27" t="s">
        <v>1154</v>
      </c>
      <c r="C70" s="27" t="s">
        <v>1159</v>
      </c>
      <c r="D70" s="27" t="s">
        <v>500</v>
      </c>
      <c r="E70" s="27" t="s">
        <v>504</v>
      </c>
      <c r="F70" s="27"/>
      <c r="G70" s="35">
        <v>11</v>
      </c>
      <c r="H70" s="27">
        <v>0</v>
      </c>
      <c r="I70" s="27">
        <v>11</v>
      </c>
      <c r="J70" s="27" t="s">
        <v>1163</v>
      </c>
      <c r="K70" s="27" t="s">
        <v>1164</v>
      </c>
      <c r="L70" s="40"/>
      <c r="M70" s="27" t="s">
        <v>37</v>
      </c>
      <c r="N70" s="27" t="s">
        <v>341</v>
      </c>
      <c r="O70" s="40">
        <v>0.331</v>
      </c>
      <c r="P70" s="40">
        <v>0.603</v>
      </c>
      <c r="Q70" s="40">
        <v>34.2</v>
      </c>
      <c r="R70" s="40">
        <v>0.412</v>
      </c>
      <c r="S70" s="27"/>
      <c r="T70" s="40">
        <v>82</v>
      </c>
      <c r="U70" s="35">
        <v>11</v>
      </c>
      <c r="V70">
        <f t="shared" si="1"/>
        <v>71</v>
      </c>
      <c r="W70" s="40">
        <v>167</v>
      </c>
      <c r="X70" s="40">
        <v>181</v>
      </c>
      <c r="Y70" s="40">
        <v>373</v>
      </c>
      <c r="Z70" s="27" t="s">
        <v>62</v>
      </c>
      <c r="AA70" s="27" t="s">
        <v>44</v>
      </c>
      <c r="AB70" s="38" t="s">
        <v>45</v>
      </c>
    </row>
    <row r="71" ht="28" spans="1:28">
      <c r="A71" s="34" t="s">
        <v>1165</v>
      </c>
      <c r="B71" s="45" t="s">
        <v>1166</v>
      </c>
      <c r="C71" s="52" t="s">
        <v>1167</v>
      </c>
      <c r="D71" s="34" t="s">
        <v>438</v>
      </c>
      <c r="E71" s="34" t="s">
        <v>442</v>
      </c>
      <c r="F71" s="34" t="s">
        <v>67</v>
      </c>
      <c r="G71" s="46">
        <v>6</v>
      </c>
      <c r="H71" s="34">
        <v>3</v>
      </c>
      <c r="I71" s="34">
        <v>3</v>
      </c>
      <c r="J71" s="34" t="s">
        <v>1169</v>
      </c>
      <c r="K71" s="47" t="s">
        <v>1170</v>
      </c>
      <c r="L71" s="48">
        <v>1</v>
      </c>
      <c r="M71" s="34" t="s">
        <v>79</v>
      </c>
      <c r="N71" s="34" t="s">
        <v>41</v>
      </c>
      <c r="O71" s="48">
        <v>0.669</v>
      </c>
      <c r="P71" s="54">
        <v>0.551</v>
      </c>
      <c r="Q71" s="48">
        <v>37.7</v>
      </c>
      <c r="R71" s="48">
        <v>0.0759</v>
      </c>
      <c r="S71" s="48" t="s">
        <v>42</v>
      </c>
      <c r="T71" s="7">
        <v>0</v>
      </c>
      <c r="U71" s="46">
        <v>6</v>
      </c>
      <c r="V71">
        <f t="shared" si="1"/>
        <v>-6</v>
      </c>
      <c r="W71" s="7" t="s">
        <v>159</v>
      </c>
      <c r="X71" s="7">
        <v>1</v>
      </c>
      <c r="Y71" s="7">
        <v>7</v>
      </c>
      <c r="Z71" s="34" t="s">
        <v>83</v>
      </c>
      <c r="AA71" s="34" t="s">
        <v>44</v>
      </c>
      <c r="AB71" s="49" t="s">
        <v>45</v>
      </c>
    </row>
    <row r="72" spans="1:28">
      <c r="A72" s="41" t="s">
        <v>1171</v>
      </c>
      <c r="B72" s="42" t="s">
        <v>1172</v>
      </c>
      <c r="C72" s="27" t="s">
        <v>1173</v>
      </c>
      <c r="D72" s="27" t="s">
        <v>33</v>
      </c>
      <c r="E72" s="27" t="s">
        <v>38</v>
      </c>
      <c r="F72" s="27"/>
      <c r="G72" s="35">
        <v>4</v>
      </c>
      <c r="H72" s="27">
        <v>1</v>
      </c>
      <c r="I72" s="27">
        <v>3</v>
      </c>
      <c r="J72" s="27" t="s">
        <v>1175</v>
      </c>
      <c r="K72" s="27" t="s">
        <v>1176</v>
      </c>
      <c r="L72" s="40"/>
      <c r="M72" s="27" t="s">
        <v>37</v>
      </c>
      <c r="N72" s="27" t="s">
        <v>216</v>
      </c>
      <c r="O72" s="40">
        <v>0.881</v>
      </c>
      <c r="P72" s="40">
        <v>0.557</v>
      </c>
      <c r="Q72" s="40">
        <v>18.4</v>
      </c>
      <c r="R72" s="40">
        <v>0.966</v>
      </c>
      <c r="S72" t="s">
        <v>42</v>
      </c>
      <c r="T72" s="40">
        <v>16686</v>
      </c>
      <c r="U72" s="35">
        <v>4</v>
      </c>
      <c r="V72">
        <f t="shared" si="1"/>
        <v>16682</v>
      </c>
      <c r="W72" s="40">
        <v>84</v>
      </c>
      <c r="X72" s="40" t="s">
        <v>159</v>
      </c>
      <c r="Y72" s="40">
        <v>158</v>
      </c>
      <c r="Z72" s="27" t="s">
        <v>146</v>
      </c>
      <c r="AA72" s="37" t="s">
        <v>44</v>
      </c>
      <c r="AB72" s="38" t="s">
        <v>45</v>
      </c>
    </row>
    <row r="73" spans="1:28">
      <c r="A73" s="41" t="s">
        <v>1185</v>
      </c>
      <c r="B73" s="42" t="s">
        <v>1186</v>
      </c>
      <c r="C73" s="27" t="s">
        <v>1187</v>
      </c>
      <c r="D73" s="28" t="s">
        <v>562</v>
      </c>
      <c r="E73" s="27" t="s">
        <v>565</v>
      </c>
      <c r="F73" s="27"/>
      <c r="G73" s="35">
        <v>3</v>
      </c>
      <c r="H73" s="27">
        <v>0</v>
      </c>
      <c r="I73" s="27">
        <v>3</v>
      </c>
      <c r="J73" s="27" t="s">
        <v>1189</v>
      </c>
      <c r="K73" s="27" t="s">
        <v>1190</v>
      </c>
      <c r="M73" s="27" t="s">
        <v>79</v>
      </c>
      <c r="N73" s="27" t="s">
        <v>341</v>
      </c>
      <c r="O73">
        <v>0.804</v>
      </c>
      <c r="P73">
        <v>0.857</v>
      </c>
      <c r="Q73">
        <v>80.5</v>
      </c>
      <c r="R73">
        <v>0.378</v>
      </c>
      <c r="T73" s="7">
        <v>8</v>
      </c>
      <c r="U73" s="35">
        <v>3</v>
      </c>
      <c r="V73">
        <f t="shared" si="1"/>
        <v>5</v>
      </c>
      <c r="W73" s="7">
        <v>88</v>
      </c>
      <c r="X73" s="7">
        <v>19</v>
      </c>
      <c r="Y73" s="7">
        <v>162</v>
      </c>
      <c r="Z73" s="27" t="s">
        <v>110</v>
      </c>
      <c r="AA73" s="37" t="s">
        <v>44</v>
      </c>
      <c r="AB73" s="38" t="s">
        <v>45</v>
      </c>
    </row>
    <row r="74" spans="1:28">
      <c r="A74" s="41" t="s">
        <v>1231</v>
      </c>
      <c r="B74" s="42" t="s">
        <v>1219</v>
      </c>
      <c r="C74" s="27" t="s">
        <v>1226</v>
      </c>
      <c r="D74" s="27" t="s">
        <v>55</v>
      </c>
      <c r="E74" s="27" t="s">
        <v>59</v>
      </c>
      <c r="F74" s="27"/>
      <c r="G74" s="35">
        <v>5</v>
      </c>
      <c r="H74" s="27">
        <v>3</v>
      </c>
      <c r="I74" s="27">
        <v>2</v>
      </c>
      <c r="J74" s="27" t="s">
        <v>1233</v>
      </c>
      <c r="K74" s="27" t="s">
        <v>1234</v>
      </c>
      <c r="M74" s="27" t="s">
        <v>79</v>
      </c>
      <c r="N74" s="27" t="s">
        <v>341</v>
      </c>
      <c r="O74">
        <v>0.786</v>
      </c>
      <c r="P74">
        <v>0.487</v>
      </c>
      <c r="Q74">
        <v>73.3</v>
      </c>
      <c r="R74">
        <v>0.692</v>
      </c>
      <c r="S74" t="s">
        <v>42</v>
      </c>
      <c r="T74">
        <v>106</v>
      </c>
      <c r="U74" s="35">
        <v>5</v>
      </c>
      <c r="V74">
        <f t="shared" si="1"/>
        <v>101</v>
      </c>
      <c r="W74">
        <v>33</v>
      </c>
      <c r="X74">
        <v>220</v>
      </c>
      <c r="Y74">
        <v>57</v>
      </c>
      <c r="Z74" s="27" t="s">
        <v>146</v>
      </c>
      <c r="AA74" s="37" t="s">
        <v>44</v>
      </c>
      <c r="AB74" s="38" t="s">
        <v>45</v>
      </c>
    </row>
    <row r="75" spans="1:28">
      <c r="A75" s="41" t="s">
        <v>1235</v>
      </c>
      <c r="B75" s="42" t="s">
        <v>1219</v>
      </c>
      <c r="C75" s="27" t="s">
        <v>1226</v>
      </c>
      <c r="D75" s="34" t="s">
        <v>568</v>
      </c>
      <c r="E75" s="34" t="s">
        <v>571</v>
      </c>
      <c r="F75" s="27"/>
      <c r="G75" s="35">
        <v>6</v>
      </c>
      <c r="H75" s="27">
        <v>4</v>
      </c>
      <c r="I75" s="27">
        <v>2</v>
      </c>
      <c r="J75" s="27" t="s">
        <v>1237</v>
      </c>
      <c r="K75" s="27" t="s">
        <v>1238</v>
      </c>
      <c r="M75" s="27" t="s">
        <v>79</v>
      </c>
      <c r="N75" s="27" t="s">
        <v>341</v>
      </c>
      <c r="O75">
        <v>0.15</v>
      </c>
      <c r="P75">
        <v>0.786</v>
      </c>
      <c r="Q75">
        <v>41.8</v>
      </c>
      <c r="R75">
        <v>0.894</v>
      </c>
      <c r="S75" t="s">
        <v>42</v>
      </c>
      <c r="T75">
        <v>2765</v>
      </c>
      <c r="U75" s="35">
        <v>6</v>
      </c>
      <c r="V75">
        <f t="shared" si="1"/>
        <v>2759</v>
      </c>
      <c r="W75">
        <v>19</v>
      </c>
      <c r="X75" t="s">
        <v>159</v>
      </c>
      <c r="Y75">
        <v>31</v>
      </c>
      <c r="Z75" s="27" t="s">
        <v>146</v>
      </c>
      <c r="AA75" s="37" t="s">
        <v>44</v>
      </c>
      <c r="AB75" s="38" t="s">
        <v>45</v>
      </c>
    </row>
    <row r="76" spans="1:28">
      <c r="A76" s="41" t="s">
        <v>1239</v>
      </c>
      <c r="B76" s="42" t="s">
        <v>1240</v>
      </c>
      <c r="C76" s="27" t="s">
        <v>1226</v>
      </c>
      <c r="D76" s="27" t="s">
        <v>33</v>
      </c>
      <c r="E76" s="27" t="s">
        <v>38</v>
      </c>
      <c r="F76" s="27"/>
      <c r="G76" s="35">
        <v>6</v>
      </c>
      <c r="H76" s="27">
        <v>2</v>
      </c>
      <c r="I76" s="27">
        <v>4</v>
      </c>
      <c r="J76" s="27" t="s">
        <v>1242</v>
      </c>
      <c r="K76" s="27" t="s">
        <v>1243</v>
      </c>
      <c r="M76" s="27" t="s">
        <v>79</v>
      </c>
      <c r="N76" s="27" t="s">
        <v>341</v>
      </c>
      <c r="O76">
        <v>0.767</v>
      </c>
      <c r="P76">
        <v>0.268</v>
      </c>
      <c r="Q76">
        <v>83.8</v>
      </c>
      <c r="R76">
        <v>0.828</v>
      </c>
      <c r="S76" t="s">
        <v>42</v>
      </c>
      <c r="T76">
        <v>349</v>
      </c>
      <c r="U76" s="35">
        <v>6</v>
      </c>
      <c r="V76">
        <f t="shared" si="1"/>
        <v>343</v>
      </c>
      <c r="W76">
        <v>23</v>
      </c>
      <c r="X76">
        <v>718</v>
      </c>
      <c r="Y76">
        <v>42</v>
      </c>
      <c r="Z76" s="27" t="s">
        <v>146</v>
      </c>
      <c r="AA76" s="37" t="s">
        <v>44</v>
      </c>
      <c r="AB76" s="38" t="s">
        <v>45</v>
      </c>
    </row>
    <row r="77" spans="1:28">
      <c r="A77" s="41" t="s">
        <v>1244</v>
      </c>
      <c r="B77" s="42" t="s">
        <v>1240</v>
      </c>
      <c r="C77" s="27" t="s">
        <v>679</v>
      </c>
      <c r="D77" s="28" t="s">
        <v>562</v>
      </c>
      <c r="E77" s="27" t="s">
        <v>565</v>
      </c>
      <c r="F77" s="27"/>
      <c r="G77" s="35">
        <v>6</v>
      </c>
      <c r="H77" s="27">
        <v>5</v>
      </c>
      <c r="I77" s="27">
        <v>1</v>
      </c>
      <c r="J77" s="27" t="s">
        <v>1247</v>
      </c>
      <c r="K77" s="27" t="s">
        <v>1248</v>
      </c>
      <c r="M77" s="27" t="s">
        <v>79</v>
      </c>
      <c r="N77" s="27" t="s">
        <v>216</v>
      </c>
      <c r="O77">
        <v>0.722</v>
      </c>
      <c r="P77">
        <v>0.826</v>
      </c>
      <c r="Q77">
        <v>55</v>
      </c>
      <c r="R77">
        <v>0.313</v>
      </c>
      <c r="S77" t="s">
        <v>42</v>
      </c>
      <c r="T77">
        <v>20</v>
      </c>
      <c r="U77" s="35">
        <v>6</v>
      </c>
      <c r="V77">
        <f t="shared" si="1"/>
        <v>14</v>
      </c>
      <c r="W77">
        <v>139</v>
      </c>
      <c r="X77">
        <v>44</v>
      </c>
      <c r="Y77">
        <v>252</v>
      </c>
      <c r="Z77" s="27" t="s">
        <v>62</v>
      </c>
      <c r="AA77" s="37" t="s">
        <v>44</v>
      </c>
      <c r="AB77" s="38" t="s">
        <v>45</v>
      </c>
    </row>
    <row r="78" spans="1:28">
      <c r="A78" s="41" t="s">
        <v>1263</v>
      </c>
      <c r="B78" s="42" t="s">
        <v>1264</v>
      </c>
      <c r="C78" s="27" t="s">
        <v>1258</v>
      </c>
      <c r="D78" s="28" t="s">
        <v>562</v>
      </c>
      <c r="E78" s="27" t="s">
        <v>565</v>
      </c>
      <c r="F78" s="27"/>
      <c r="G78" s="35">
        <v>4</v>
      </c>
      <c r="H78" s="27">
        <v>0</v>
      </c>
      <c r="I78" s="27">
        <v>4</v>
      </c>
      <c r="J78" s="27" t="s">
        <v>1266</v>
      </c>
      <c r="K78" s="27" t="s">
        <v>1267</v>
      </c>
      <c r="M78" s="27" t="s">
        <v>37</v>
      </c>
      <c r="N78" s="27" t="s">
        <v>216</v>
      </c>
      <c r="O78">
        <v>0.0174</v>
      </c>
      <c r="P78">
        <v>0.597</v>
      </c>
      <c r="Q78">
        <v>52.2</v>
      </c>
      <c r="R78">
        <v>0.561</v>
      </c>
      <c r="S78" t="s">
        <v>42</v>
      </c>
      <c r="T78">
        <v>31</v>
      </c>
      <c r="U78" s="35">
        <v>4</v>
      </c>
      <c r="V78">
        <f t="shared" si="1"/>
        <v>27</v>
      </c>
      <c r="W78">
        <v>17</v>
      </c>
      <c r="X78">
        <v>66</v>
      </c>
      <c r="Y78">
        <v>27</v>
      </c>
      <c r="Z78" s="27" t="s">
        <v>110</v>
      </c>
      <c r="AA78" s="37" t="s">
        <v>44</v>
      </c>
      <c r="AB78" s="38" t="s">
        <v>45</v>
      </c>
    </row>
    <row r="79" spans="1:28">
      <c r="A79" s="41" t="s">
        <v>1268</v>
      </c>
      <c r="B79" s="42" t="s">
        <v>1269</v>
      </c>
      <c r="C79" s="27" t="s">
        <v>1258</v>
      </c>
      <c r="D79" s="28" t="s">
        <v>562</v>
      </c>
      <c r="E79" s="27" t="s">
        <v>565</v>
      </c>
      <c r="F79" s="27"/>
      <c r="G79" s="35">
        <v>12</v>
      </c>
      <c r="H79" s="27">
        <v>0</v>
      </c>
      <c r="I79" s="27">
        <v>12</v>
      </c>
      <c r="J79" s="27" t="s">
        <v>1271</v>
      </c>
      <c r="K79" s="27" t="s">
        <v>1272</v>
      </c>
      <c r="M79" s="27" t="s">
        <v>37</v>
      </c>
      <c r="N79" s="27" t="s">
        <v>216</v>
      </c>
      <c r="O79">
        <v>0.666</v>
      </c>
      <c r="P79">
        <v>0.502</v>
      </c>
      <c r="Q79">
        <v>54.2</v>
      </c>
      <c r="R79">
        <v>0.223</v>
      </c>
      <c r="S79" t="s">
        <v>42</v>
      </c>
      <c r="T79">
        <v>11</v>
      </c>
      <c r="U79" s="35">
        <v>12</v>
      </c>
      <c r="V79">
        <f t="shared" si="1"/>
        <v>-1</v>
      </c>
      <c r="W79">
        <v>5</v>
      </c>
      <c r="X79">
        <v>30</v>
      </c>
      <c r="Y79">
        <v>10</v>
      </c>
      <c r="Z79" s="27" t="s">
        <v>110</v>
      </c>
      <c r="AA79" s="37" t="s">
        <v>44</v>
      </c>
      <c r="AB79" s="38" t="s">
        <v>45</v>
      </c>
    </row>
    <row r="80" spans="1:28">
      <c r="A80" s="34" t="s">
        <v>1280</v>
      </c>
      <c r="B80" s="47" t="s">
        <v>1281</v>
      </c>
      <c r="C80" s="34" t="s">
        <v>1282</v>
      </c>
      <c r="D80" s="34" t="s">
        <v>438</v>
      </c>
      <c r="E80" s="34" t="s">
        <v>442</v>
      </c>
      <c r="F80" s="34"/>
      <c r="G80" s="56">
        <v>6</v>
      </c>
      <c r="H80" s="34">
        <v>0</v>
      </c>
      <c r="I80" s="34">
        <v>6</v>
      </c>
      <c r="J80" s="34" t="s">
        <v>1283</v>
      </c>
      <c r="K80" s="47" t="s">
        <v>1284</v>
      </c>
      <c r="L80" s="7">
        <v>1</v>
      </c>
      <c r="M80" s="34" t="s">
        <v>79</v>
      </c>
      <c r="N80" s="34" t="s">
        <v>341</v>
      </c>
      <c r="O80" s="7">
        <v>0.129</v>
      </c>
      <c r="P80" s="7">
        <v>0.14</v>
      </c>
      <c r="Q80" s="7">
        <v>61.8</v>
      </c>
      <c r="R80" s="7">
        <v>0.0553</v>
      </c>
      <c r="S80" s="34"/>
      <c r="T80" s="7">
        <v>0</v>
      </c>
      <c r="U80" s="56">
        <v>6</v>
      </c>
      <c r="V80">
        <f t="shared" si="1"/>
        <v>-6</v>
      </c>
      <c r="W80" s="7" t="s">
        <v>159</v>
      </c>
      <c r="X80" s="7">
        <v>1</v>
      </c>
      <c r="Y80" s="7">
        <v>1</v>
      </c>
      <c r="Z80" s="34" t="s">
        <v>146</v>
      </c>
      <c r="AA80" s="34" t="s">
        <v>44</v>
      </c>
      <c r="AB80" s="49" t="s">
        <v>45</v>
      </c>
    </row>
    <row r="81" spans="1:28">
      <c r="A81" s="34" t="s">
        <v>1307</v>
      </c>
      <c r="B81" s="45" t="s">
        <v>1302</v>
      </c>
      <c r="C81" s="34" t="s">
        <v>1303</v>
      </c>
      <c r="D81" s="34" t="s">
        <v>735</v>
      </c>
      <c r="E81" s="34" t="s">
        <v>737</v>
      </c>
      <c r="F81" s="34"/>
      <c r="G81" s="46">
        <v>3</v>
      </c>
      <c r="H81" s="34">
        <v>1</v>
      </c>
      <c r="I81" s="34">
        <v>2</v>
      </c>
      <c r="J81" s="34" t="s">
        <v>1308</v>
      </c>
      <c r="K81" s="47" t="s">
        <v>1309</v>
      </c>
      <c r="L81" s="48">
        <v>1</v>
      </c>
      <c r="M81" s="34" t="s">
        <v>37</v>
      </c>
      <c r="N81" s="34" t="s">
        <v>216</v>
      </c>
      <c r="O81" s="48">
        <v>0.581</v>
      </c>
      <c r="P81" s="48">
        <v>0.815</v>
      </c>
      <c r="Q81" s="48">
        <v>43</v>
      </c>
      <c r="R81" s="48">
        <v>0.0713</v>
      </c>
      <c r="S81" s="48" t="s">
        <v>42</v>
      </c>
      <c r="T81" s="48">
        <v>0</v>
      </c>
      <c r="U81" s="46">
        <v>3</v>
      </c>
      <c r="V81">
        <f t="shared" si="1"/>
        <v>-3</v>
      </c>
      <c r="W81" s="48" t="s">
        <v>159</v>
      </c>
      <c r="X81" s="48">
        <v>1</v>
      </c>
      <c r="Y81" s="48">
        <v>1</v>
      </c>
      <c r="Z81" s="34" t="s">
        <v>62</v>
      </c>
      <c r="AA81" s="34" t="s">
        <v>44</v>
      </c>
      <c r="AB81" s="49" t="s">
        <v>45</v>
      </c>
    </row>
    <row r="82" spans="1:28">
      <c r="A82" s="41" t="s">
        <v>1314</v>
      </c>
      <c r="B82" s="42" t="s">
        <v>1315</v>
      </c>
      <c r="C82" s="27" t="s">
        <v>1316</v>
      </c>
      <c r="D82" s="27" t="s">
        <v>33</v>
      </c>
      <c r="E82" s="27" t="s">
        <v>38</v>
      </c>
      <c r="F82" s="27"/>
      <c r="G82" s="35">
        <v>3</v>
      </c>
      <c r="H82" s="27">
        <v>3</v>
      </c>
      <c r="I82" s="27">
        <v>0</v>
      </c>
      <c r="J82" s="27" t="s">
        <v>1319</v>
      </c>
      <c r="K82" s="27" t="s">
        <v>1320</v>
      </c>
      <c r="M82" s="27" t="s">
        <v>79</v>
      </c>
      <c r="N82" s="27" t="s">
        <v>216</v>
      </c>
      <c r="O82">
        <v>0.516</v>
      </c>
      <c r="P82">
        <v>0.76</v>
      </c>
      <c r="Q82">
        <v>72.4</v>
      </c>
      <c r="R82">
        <v>0.509</v>
      </c>
      <c r="S82" t="s">
        <v>42</v>
      </c>
      <c r="T82">
        <v>13</v>
      </c>
      <c r="U82" s="35">
        <v>3</v>
      </c>
      <c r="V82">
        <f t="shared" si="1"/>
        <v>10</v>
      </c>
      <c r="W82">
        <v>15</v>
      </c>
      <c r="X82">
        <v>28</v>
      </c>
      <c r="Y82">
        <v>34</v>
      </c>
      <c r="Z82" s="27" t="s">
        <v>62</v>
      </c>
      <c r="AA82" s="37" t="s">
        <v>44</v>
      </c>
      <c r="AB82" s="38" t="s">
        <v>45</v>
      </c>
    </row>
    <row r="83" spans="1:28">
      <c r="A83" s="41" t="s">
        <v>1379</v>
      </c>
      <c r="B83" s="42" t="s">
        <v>1380</v>
      </c>
      <c r="C83" s="27" t="s">
        <v>1381</v>
      </c>
      <c r="D83" s="27" t="s">
        <v>520</v>
      </c>
      <c r="E83" s="27" t="s">
        <v>523</v>
      </c>
      <c r="F83" s="27"/>
      <c r="G83" s="35">
        <v>5</v>
      </c>
      <c r="H83" s="27">
        <v>5</v>
      </c>
      <c r="I83" s="27">
        <v>0</v>
      </c>
      <c r="J83" s="27" t="s">
        <v>1383</v>
      </c>
      <c r="K83" s="27" t="s">
        <v>1384</v>
      </c>
      <c r="M83" s="27" t="s">
        <v>79</v>
      </c>
      <c r="N83" s="27" t="s">
        <v>216</v>
      </c>
      <c r="O83">
        <v>0.509</v>
      </c>
      <c r="P83">
        <v>0.456</v>
      </c>
      <c r="Q83">
        <v>59.7</v>
      </c>
      <c r="R83">
        <v>0.979</v>
      </c>
      <c r="S83" t="s">
        <v>42</v>
      </c>
      <c r="T83">
        <v>39289</v>
      </c>
      <c r="U83" s="35">
        <v>5</v>
      </c>
      <c r="V83">
        <f t="shared" si="1"/>
        <v>39284</v>
      </c>
      <c r="W83">
        <v>33</v>
      </c>
      <c r="X83" t="s">
        <v>159</v>
      </c>
      <c r="Y83">
        <v>60</v>
      </c>
      <c r="Z83" s="27" t="s">
        <v>110</v>
      </c>
      <c r="AA83" s="37" t="s">
        <v>44</v>
      </c>
      <c r="AB83" s="38" t="s">
        <v>45</v>
      </c>
    </row>
  </sheetData>
  <autoFilter xmlns:etc="http://www.wps.cn/officeDocument/2017/etCustomData" ref="T1:T83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2" sqref="A2:A12"/>
    </sheetView>
  </sheetViews>
  <sheetFormatPr defaultColWidth="8.69090909090909" defaultRowHeight="14" outlineLevelCol="1"/>
  <cols>
    <col min="1" max="1" width="65.0727272727273" customWidth="1"/>
    <col min="2" max="2" width="85.6090909090909" customWidth="1"/>
  </cols>
  <sheetData>
    <row r="1" spans="1:2">
      <c r="A1" s="26" t="s">
        <v>2184</v>
      </c>
      <c r="B1" s="26" t="s">
        <v>2185</v>
      </c>
    </row>
    <row r="2" spans="1:2">
      <c r="A2" s="27" t="s">
        <v>33</v>
      </c>
      <c r="B2" s="27" t="s">
        <v>38</v>
      </c>
    </row>
    <row r="3" spans="1:2">
      <c r="A3" s="27" t="s">
        <v>55</v>
      </c>
      <c r="B3" s="27" t="s">
        <v>59</v>
      </c>
    </row>
    <row r="4" spans="1:2">
      <c r="A4" s="28" t="s">
        <v>548</v>
      </c>
      <c r="B4" s="27" t="s">
        <v>552</v>
      </c>
    </row>
    <row r="5" spans="1:2">
      <c r="A5" s="27" t="s">
        <v>2186</v>
      </c>
      <c r="B5" s="27" t="s">
        <v>753</v>
      </c>
    </row>
    <row r="6" spans="1:2">
      <c r="A6" s="27" t="s">
        <v>438</v>
      </c>
      <c r="B6" s="27" t="s">
        <v>442</v>
      </c>
    </row>
    <row r="7" spans="1:2">
      <c r="A7" s="27" t="s">
        <v>500</v>
      </c>
      <c r="B7" s="27" t="s">
        <v>504</v>
      </c>
    </row>
    <row r="8" spans="1:2">
      <c r="A8" s="27" t="s">
        <v>2187</v>
      </c>
      <c r="B8" s="27" t="s">
        <v>2188</v>
      </c>
    </row>
    <row r="9" spans="1:2">
      <c r="A9" s="27" t="s">
        <v>2189</v>
      </c>
      <c r="B9" s="27" t="s">
        <v>2190</v>
      </c>
    </row>
    <row r="10" spans="1:2">
      <c r="A10" s="27" t="s">
        <v>568</v>
      </c>
      <c r="B10" s="27" t="s">
        <v>571</v>
      </c>
    </row>
    <row r="11" spans="1:2">
      <c r="A11" s="27" t="s">
        <v>562</v>
      </c>
      <c r="B11" s="27" t="s">
        <v>565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8"/>
  <sheetViews>
    <sheetView workbookViewId="0">
      <selection activeCell="F7" sqref="F7"/>
    </sheetView>
  </sheetViews>
  <sheetFormatPr defaultColWidth="8.69090909090909" defaultRowHeight="14"/>
  <cols>
    <col min="1" max="1" width="48.6909090909091" customWidth="1"/>
  </cols>
  <sheetData>
    <row r="1" spans="1:1">
      <c r="A1" t="s">
        <v>1520</v>
      </c>
    </row>
    <row r="2" spans="1:1">
      <c r="A2" t="s">
        <v>2005</v>
      </c>
    </row>
    <row r="3" spans="1:1">
      <c r="A3" t="s">
        <v>1577</v>
      </c>
    </row>
    <row r="4" spans="1:1">
      <c r="A4" t="s">
        <v>1858</v>
      </c>
    </row>
    <row r="5" spans="1:1">
      <c r="A5" t="s">
        <v>1579</v>
      </c>
    </row>
    <row r="6" spans="1:1">
      <c r="A6" t="s">
        <v>1853</v>
      </c>
    </row>
    <row r="7" spans="1:1">
      <c r="A7" t="s">
        <v>1839</v>
      </c>
    </row>
    <row r="8" spans="1:1">
      <c r="A8" t="s">
        <v>2125</v>
      </c>
    </row>
    <row r="9" spans="1:1">
      <c r="A9" t="s">
        <v>2003</v>
      </c>
    </row>
    <row r="10" spans="1:1">
      <c r="A10" t="s">
        <v>1935</v>
      </c>
    </row>
    <row r="11" spans="1:1">
      <c r="A11" t="s">
        <v>2025</v>
      </c>
    </row>
    <row r="12" spans="1:1">
      <c r="A12" t="s">
        <v>1793</v>
      </c>
    </row>
    <row r="13" spans="1:1">
      <c r="A13" t="s">
        <v>1848</v>
      </c>
    </row>
    <row r="14" spans="1:1">
      <c r="A14" t="s">
        <v>1692</v>
      </c>
    </row>
    <row r="15" spans="1:1">
      <c r="A15" t="s">
        <v>1594</v>
      </c>
    </row>
    <row r="16" spans="1:1">
      <c r="A16" t="s">
        <v>2137</v>
      </c>
    </row>
    <row r="17" spans="1:1">
      <c r="A17" t="s">
        <v>1918</v>
      </c>
    </row>
    <row r="18" spans="1:1">
      <c r="A18" t="s">
        <v>2121</v>
      </c>
    </row>
    <row r="19" spans="1:1">
      <c r="A19" t="s">
        <v>2086</v>
      </c>
    </row>
    <row r="20" spans="1:1">
      <c r="A20" t="s">
        <v>1607</v>
      </c>
    </row>
    <row r="21" spans="1:1">
      <c r="A21" t="s">
        <v>1870</v>
      </c>
    </row>
    <row r="22" spans="1:1">
      <c r="A22" t="s">
        <v>1871</v>
      </c>
    </row>
    <row r="23" spans="1:1">
      <c r="A23" t="s">
        <v>1868</v>
      </c>
    </row>
    <row r="24" spans="1:1">
      <c r="A24" t="s">
        <v>1831</v>
      </c>
    </row>
    <row r="25" spans="1:1">
      <c r="A25" t="s">
        <v>2048</v>
      </c>
    </row>
    <row r="26" spans="1:1">
      <c r="A26" t="s">
        <v>1863</v>
      </c>
    </row>
    <row r="27" spans="1:1">
      <c r="A27" t="s">
        <v>2050</v>
      </c>
    </row>
    <row r="28" spans="1:1">
      <c r="A28" t="s">
        <v>1645</v>
      </c>
    </row>
    <row r="29" spans="1:1">
      <c r="A29" t="s">
        <v>2054</v>
      </c>
    </row>
    <row r="30" spans="1:1">
      <c r="A30" t="s">
        <v>1778</v>
      </c>
    </row>
    <row r="31" spans="1:1">
      <c r="A31" t="s">
        <v>1956</v>
      </c>
    </row>
    <row r="32" spans="1:1">
      <c r="A32" t="s">
        <v>1994</v>
      </c>
    </row>
    <row r="33" spans="1:1">
      <c r="A33" t="s">
        <v>2112</v>
      </c>
    </row>
    <row r="34" spans="1:1">
      <c r="A34" t="s">
        <v>2147</v>
      </c>
    </row>
    <row r="35" spans="1:1">
      <c r="A35" t="s">
        <v>2124</v>
      </c>
    </row>
    <row r="36" spans="1:1">
      <c r="A36" t="s">
        <v>1712</v>
      </c>
    </row>
    <row r="37" spans="1:1">
      <c r="A37" t="s">
        <v>2057</v>
      </c>
    </row>
    <row r="38" spans="1:1">
      <c r="A38" t="s">
        <v>2069</v>
      </c>
    </row>
    <row r="39" spans="1:1">
      <c r="A39" t="s">
        <v>1978</v>
      </c>
    </row>
    <row r="40" spans="1:1">
      <c r="A40" t="s">
        <v>1545</v>
      </c>
    </row>
    <row r="41" spans="1:1">
      <c r="A41" t="s">
        <v>1825</v>
      </c>
    </row>
    <row r="42" spans="1:1">
      <c r="A42" t="s">
        <v>1846</v>
      </c>
    </row>
    <row r="43" spans="1:1">
      <c r="A43" t="s">
        <v>1736</v>
      </c>
    </row>
    <row r="44" spans="1:1">
      <c r="A44" t="s">
        <v>2091</v>
      </c>
    </row>
    <row r="45" spans="1:1">
      <c r="A45" t="s">
        <v>2158</v>
      </c>
    </row>
    <row r="46" spans="1:1">
      <c r="A46" t="s">
        <v>2151</v>
      </c>
    </row>
    <row r="47" spans="1:1">
      <c r="A47" t="s">
        <v>1656</v>
      </c>
    </row>
    <row r="48" spans="1:1">
      <c r="A48" t="s">
        <v>2136</v>
      </c>
    </row>
    <row r="49" spans="1:1">
      <c r="A49" t="s">
        <v>1990</v>
      </c>
    </row>
    <row r="50" spans="1:1">
      <c r="A50" t="s">
        <v>2101</v>
      </c>
    </row>
    <row r="51" spans="1:1">
      <c r="A51" t="s">
        <v>1529</v>
      </c>
    </row>
    <row r="52" spans="1:1">
      <c r="A52" t="s">
        <v>1810</v>
      </c>
    </row>
    <row r="53" spans="1:1">
      <c r="A53" t="s">
        <v>1881</v>
      </c>
    </row>
    <row r="54" spans="1:1">
      <c r="A54" t="s">
        <v>1541</v>
      </c>
    </row>
    <row r="55" spans="1:1">
      <c r="A55" t="s">
        <v>2093</v>
      </c>
    </row>
    <row r="56" spans="1:1">
      <c r="A56" t="s">
        <v>1677</v>
      </c>
    </row>
    <row r="57" spans="1:1">
      <c r="A57" t="s">
        <v>1612</v>
      </c>
    </row>
    <row r="58" spans="1:1">
      <c r="A58" t="s">
        <v>1815</v>
      </c>
    </row>
    <row r="59" spans="1:1">
      <c r="A59" t="s">
        <v>2077</v>
      </c>
    </row>
    <row r="60" spans="1:1">
      <c r="A60" t="s">
        <v>1761</v>
      </c>
    </row>
    <row r="61" spans="1:1">
      <c r="A61" t="s">
        <v>2045</v>
      </c>
    </row>
    <row r="62" spans="1:1">
      <c r="A62" t="s">
        <v>2149</v>
      </c>
    </row>
    <row r="63" spans="1:1">
      <c r="A63" t="s">
        <v>2071</v>
      </c>
    </row>
    <row r="64" spans="1:1">
      <c r="A64" t="s">
        <v>1716</v>
      </c>
    </row>
    <row r="65" spans="1:1">
      <c r="A65" t="s">
        <v>2166</v>
      </c>
    </row>
    <row r="66" spans="1:1">
      <c r="A66" t="s">
        <v>1623</v>
      </c>
    </row>
    <row r="67" spans="1:1">
      <c r="A67" t="s">
        <v>1962</v>
      </c>
    </row>
    <row r="68" spans="1:1">
      <c r="A68" t="s">
        <v>1738</v>
      </c>
    </row>
    <row r="69" spans="1:1">
      <c r="A69" t="s">
        <v>2022</v>
      </c>
    </row>
    <row r="70" spans="1:1">
      <c r="A70" t="s">
        <v>1869</v>
      </c>
    </row>
    <row r="71" spans="1:1">
      <c r="A71" t="s">
        <v>1775</v>
      </c>
    </row>
    <row r="72" spans="1:1">
      <c r="A72" t="s">
        <v>1535</v>
      </c>
    </row>
    <row r="73" spans="1:1">
      <c r="A73" t="s">
        <v>1582</v>
      </c>
    </row>
    <row r="74" spans="1:1">
      <c r="A74" t="s">
        <v>1952</v>
      </c>
    </row>
    <row r="75" spans="1:1">
      <c r="A75" t="s">
        <v>1639</v>
      </c>
    </row>
    <row r="76" spans="1:1">
      <c r="A76" t="s">
        <v>1532</v>
      </c>
    </row>
    <row r="77" spans="1:1">
      <c r="A77" t="s">
        <v>1884</v>
      </c>
    </row>
    <row r="78" spans="1:1">
      <c r="A78" t="s">
        <v>2139</v>
      </c>
    </row>
    <row r="79" spans="1:1">
      <c r="A79" t="s">
        <v>1724</v>
      </c>
    </row>
    <row r="80" spans="1:1">
      <c r="A80" t="s">
        <v>1733</v>
      </c>
    </row>
    <row r="81" spans="1:1">
      <c r="A81" t="s">
        <v>2096</v>
      </c>
    </row>
    <row r="82" spans="1:1">
      <c r="A82" t="s">
        <v>1892</v>
      </c>
    </row>
    <row r="83" spans="1:1">
      <c r="A83" t="s">
        <v>1812</v>
      </c>
    </row>
    <row r="84" spans="1:1">
      <c r="A84" t="s">
        <v>2131</v>
      </c>
    </row>
    <row r="85" spans="1:1">
      <c r="A85" t="s">
        <v>1876</v>
      </c>
    </row>
    <row r="86" spans="1:1">
      <c r="A86" t="s">
        <v>2113</v>
      </c>
    </row>
    <row r="87" spans="1:1">
      <c r="A87" t="s">
        <v>1855</v>
      </c>
    </row>
    <row r="88" spans="1:1">
      <c r="A88" t="s">
        <v>1816</v>
      </c>
    </row>
    <row r="89" spans="1:1">
      <c r="A89" t="s">
        <v>2141</v>
      </c>
    </row>
    <row r="90" spans="1:1">
      <c r="A90" t="s">
        <v>2171</v>
      </c>
    </row>
    <row r="91" spans="1:1">
      <c r="A91" t="s">
        <v>2015</v>
      </c>
    </row>
    <row r="92" spans="1:1">
      <c r="A92" t="s">
        <v>2168</v>
      </c>
    </row>
    <row r="93" spans="1:1">
      <c r="A93" t="s">
        <v>2132</v>
      </c>
    </row>
    <row r="94" spans="1:1">
      <c r="A94" t="s">
        <v>1963</v>
      </c>
    </row>
    <row r="95" spans="1:1">
      <c r="A95" t="s">
        <v>2145</v>
      </c>
    </row>
    <row r="96" spans="1:1">
      <c r="A96" t="s">
        <v>2160</v>
      </c>
    </row>
    <row r="97" spans="1:1">
      <c r="A97" t="s">
        <v>2122</v>
      </c>
    </row>
    <row r="98" spans="1:1">
      <c r="A98" t="s">
        <v>2073</v>
      </c>
    </row>
    <row r="99" spans="1:1">
      <c r="A99" t="s">
        <v>1842</v>
      </c>
    </row>
    <row r="100" spans="1:1">
      <c r="A100" t="s">
        <v>1666</v>
      </c>
    </row>
    <row r="101" spans="1:1">
      <c r="A101" t="s">
        <v>1624</v>
      </c>
    </row>
    <row r="102" spans="1:1">
      <c r="A102" t="s">
        <v>2156</v>
      </c>
    </row>
    <row r="103" spans="1:1">
      <c r="A103" t="s">
        <v>1880</v>
      </c>
    </row>
    <row r="104" spans="1:1">
      <c r="A104" t="s">
        <v>1690</v>
      </c>
    </row>
    <row r="105" spans="1:1">
      <c r="A105" t="s">
        <v>1837</v>
      </c>
    </row>
    <row r="106" spans="1:1">
      <c r="A106" t="s">
        <v>1850</v>
      </c>
    </row>
    <row r="107" spans="1:1">
      <c r="A107" t="s">
        <v>1833</v>
      </c>
    </row>
    <row r="108" spans="1:1">
      <c r="A108" t="s">
        <v>1561</v>
      </c>
    </row>
    <row r="109" spans="1:1">
      <c r="A109" t="s">
        <v>1648</v>
      </c>
    </row>
    <row r="110" spans="1:1">
      <c r="A110" t="s">
        <v>1573</v>
      </c>
    </row>
    <row r="111" spans="1:1">
      <c r="A111" t="s">
        <v>1632</v>
      </c>
    </row>
    <row r="112" spans="1:1">
      <c r="A112" t="s">
        <v>1671</v>
      </c>
    </row>
    <row r="113" spans="1:1">
      <c r="A113" t="s">
        <v>1653</v>
      </c>
    </row>
    <row r="114" spans="1:1">
      <c r="A114" t="s">
        <v>1601</v>
      </c>
    </row>
    <row r="115" spans="1:1">
      <c r="A115" t="s">
        <v>1636</v>
      </c>
    </row>
    <row r="116" spans="1:1">
      <c r="A116" t="s">
        <v>1695</v>
      </c>
    </row>
    <row r="117" spans="1:1">
      <c r="A117" t="s">
        <v>1924</v>
      </c>
    </row>
    <row r="118" spans="1:1">
      <c r="A118" t="s">
        <v>1940</v>
      </c>
    </row>
    <row r="119" spans="1:1">
      <c r="A119" t="s">
        <v>1662</v>
      </c>
    </row>
    <row r="120" spans="1:1">
      <c r="A120" t="s">
        <v>1806</v>
      </c>
    </row>
    <row r="121" spans="1:1">
      <c r="A121" t="s">
        <v>1980</v>
      </c>
    </row>
    <row r="122" spans="1:1">
      <c r="A122" t="s">
        <v>2001</v>
      </c>
    </row>
    <row r="123" spans="1:1">
      <c r="A123" t="s">
        <v>1999</v>
      </c>
    </row>
    <row r="124" spans="1:1">
      <c r="A124" t="s">
        <v>1568</v>
      </c>
    </row>
    <row r="125" spans="1:1">
      <c r="A125" t="s">
        <v>1895</v>
      </c>
    </row>
    <row r="126" spans="1:1">
      <c r="A126" t="s">
        <v>1563</v>
      </c>
    </row>
    <row r="127" spans="1:1">
      <c r="A127" t="s">
        <v>1976</v>
      </c>
    </row>
    <row r="128" spans="1:1">
      <c r="A128" t="s">
        <v>1615</v>
      </c>
    </row>
    <row r="129" spans="1:1">
      <c r="A129" t="s">
        <v>2038</v>
      </c>
    </row>
    <row r="130" spans="1:1">
      <c r="A130" t="s">
        <v>1893</v>
      </c>
    </row>
    <row r="131" spans="1:1">
      <c r="A131" t="s">
        <v>1763</v>
      </c>
    </row>
    <row r="132" spans="1:1">
      <c r="A132" t="s">
        <v>2076</v>
      </c>
    </row>
    <row r="133" spans="1:1">
      <c r="A133" t="s">
        <v>2134</v>
      </c>
    </row>
    <row r="134" spans="1:1">
      <c r="A134" t="s">
        <v>1660</v>
      </c>
    </row>
    <row r="135" spans="1:1">
      <c r="A135" t="s">
        <v>2034</v>
      </c>
    </row>
    <row r="136" spans="1:1">
      <c r="A136" t="s">
        <v>2036</v>
      </c>
    </row>
    <row r="137" spans="1:1">
      <c r="A137" t="s">
        <v>2032</v>
      </c>
    </row>
    <row r="138" spans="1:1">
      <c r="A138" t="s">
        <v>2162</v>
      </c>
    </row>
    <row r="139" spans="1:1">
      <c r="A139" t="s">
        <v>1902</v>
      </c>
    </row>
    <row r="140" spans="1:1">
      <c r="A140" t="s">
        <v>1931</v>
      </c>
    </row>
    <row r="141" spans="1:1">
      <c r="A141" t="s">
        <v>1699</v>
      </c>
    </row>
    <row r="142" spans="1:1">
      <c r="A142" t="s">
        <v>1620</v>
      </c>
    </row>
    <row r="143" spans="1:1">
      <c r="A143" t="s">
        <v>1698</v>
      </c>
    </row>
    <row r="144" spans="1:1">
      <c r="A144" t="s">
        <v>1938</v>
      </c>
    </row>
    <row r="145" spans="1:1">
      <c r="A145" t="s">
        <v>2126</v>
      </c>
    </row>
    <row r="146" spans="1:1">
      <c r="A146" t="s">
        <v>1614</v>
      </c>
    </row>
    <row r="147" spans="1:1">
      <c r="A147" t="s">
        <v>1742</v>
      </c>
    </row>
    <row r="148" spans="1:1">
      <c r="A148" t="s">
        <v>1991</v>
      </c>
    </row>
    <row r="149" spans="1:1">
      <c r="A149" t="s">
        <v>1575</v>
      </c>
    </row>
    <row r="150" spans="1:1">
      <c r="A150" t="s">
        <v>1933</v>
      </c>
    </row>
    <row r="151" spans="1:1">
      <c r="A151" t="s">
        <v>2128</v>
      </c>
    </row>
    <row r="152" spans="1:1">
      <c r="A152" t="s">
        <v>1829</v>
      </c>
    </row>
    <row r="153" spans="1:1">
      <c r="A153" t="s">
        <v>2083</v>
      </c>
    </row>
    <row r="154" spans="1:1">
      <c r="A154" t="s">
        <v>1851</v>
      </c>
    </row>
    <row r="155" spans="1:1">
      <c r="A155" t="s">
        <v>1710</v>
      </c>
    </row>
    <row r="156" spans="1:1">
      <c r="A156" t="s">
        <v>1726</v>
      </c>
    </row>
    <row r="157" spans="1:1">
      <c r="A157" t="s">
        <v>1759</v>
      </c>
    </row>
    <row r="158" spans="1:1">
      <c r="A158" t="s">
        <v>1657</v>
      </c>
    </row>
    <row r="159" spans="1:1">
      <c r="A159" t="s">
        <v>2119</v>
      </c>
    </row>
    <row r="160" spans="1:1">
      <c r="A160" t="s">
        <v>1795</v>
      </c>
    </row>
    <row r="161" spans="1:1">
      <c r="A161" t="s">
        <v>1680</v>
      </c>
    </row>
    <row r="162" spans="1:1">
      <c r="A162" t="s">
        <v>2041</v>
      </c>
    </row>
    <row r="163" spans="1:1">
      <c r="A163" t="s">
        <v>1701</v>
      </c>
    </row>
    <row r="164" spans="1:1">
      <c r="A164" t="s">
        <v>1626</v>
      </c>
    </row>
    <row r="165" spans="1:1">
      <c r="A165" t="s">
        <v>2061</v>
      </c>
    </row>
    <row r="166" spans="1:1">
      <c r="A166" t="s">
        <v>1945</v>
      </c>
    </row>
    <row r="167" spans="1:1">
      <c r="A167" t="s">
        <v>2017</v>
      </c>
    </row>
    <row r="168" spans="1:1">
      <c r="A168" t="s">
        <v>1907</v>
      </c>
    </row>
    <row r="169" spans="1:1">
      <c r="A169" t="s">
        <v>2016</v>
      </c>
    </row>
    <row r="170" spans="1:1">
      <c r="A170" t="s">
        <v>1874</v>
      </c>
    </row>
    <row r="171" spans="1:1">
      <c r="A171" t="s">
        <v>1891</v>
      </c>
    </row>
    <row r="172" spans="1:1">
      <c r="A172" t="s">
        <v>2052</v>
      </c>
    </row>
    <row r="173" spans="1:1">
      <c r="A173" t="s">
        <v>1953</v>
      </c>
    </row>
    <row r="174" spans="1:1">
      <c r="A174" t="s">
        <v>2028</v>
      </c>
    </row>
    <row r="175" spans="1:1">
      <c r="A175" t="s">
        <v>1927</v>
      </c>
    </row>
    <row r="176" spans="1:1">
      <c r="A176" t="s">
        <v>1951</v>
      </c>
    </row>
    <row r="177" spans="1:1">
      <c r="A177" t="s">
        <v>2024</v>
      </c>
    </row>
    <row r="178" spans="1:1">
      <c r="A178" t="s">
        <v>1642</v>
      </c>
    </row>
    <row r="179" spans="1:1">
      <c r="A179" t="s">
        <v>1904</v>
      </c>
    </row>
    <row r="180" spans="1:1">
      <c r="A180" t="s">
        <v>1897</v>
      </c>
    </row>
    <row r="181" spans="1:1">
      <c r="A181" t="s">
        <v>1551</v>
      </c>
    </row>
    <row r="182" spans="1:1">
      <c r="A182" t="s">
        <v>1552</v>
      </c>
    </row>
    <row r="183" spans="1:1">
      <c r="A183" t="s">
        <v>1684</v>
      </c>
    </row>
    <row r="184" spans="1:1">
      <c r="A184" t="s">
        <v>1688</v>
      </c>
    </row>
    <row r="185" spans="1:1">
      <c r="A185" t="s">
        <v>1618</v>
      </c>
    </row>
    <row r="186" spans="1:1">
      <c r="A186" t="s">
        <v>1570</v>
      </c>
    </row>
    <row r="187" spans="1:1">
      <c r="A187" t="s">
        <v>1749</v>
      </c>
    </row>
    <row r="188" spans="1:1">
      <c r="A188" t="s">
        <v>2059</v>
      </c>
    </row>
    <row r="189" spans="1:1">
      <c r="A189" t="s">
        <v>2013</v>
      </c>
    </row>
    <row r="190" spans="1:1">
      <c r="A190" t="s">
        <v>1967</v>
      </c>
    </row>
    <row r="191" spans="1:1">
      <c r="A191" t="s">
        <v>2089</v>
      </c>
    </row>
    <row r="192" spans="1:1">
      <c r="A192" t="s">
        <v>1740</v>
      </c>
    </row>
    <row r="193" spans="1:1">
      <c r="A193" t="s">
        <v>2152</v>
      </c>
    </row>
    <row r="194" spans="1:1">
      <c r="A194" t="s">
        <v>1973</v>
      </c>
    </row>
    <row r="195" spans="1:1">
      <c r="A195" t="s">
        <v>1971</v>
      </c>
    </row>
    <row r="196" spans="1:1">
      <c r="A196" t="s">
        <v>2130</v>
      </c>
    </row>
    <row r="197" spans="1:1">
      <c r="A197" t="s">
        <v>2154</v>
      </c>
    </row>
    <row r="198" spans="1:1">
      <c r="A198" t="s">
        <v>2007</v>
      </c>
    </row>
    <row r="199" spans="1:1">
      <c r="A199" t="s">
        <v>1827</v>
      </c>
    </row>
    <row r="200" spans="1:1">
      <c r="A200" t="s">
        <v>1995</v>
      </c>
    </row>
    <row r="201" spans="1:1">
      <c r="A201" t="s">
        <v>1731</v>
      </c>
    </row>
    <row r="202" spans="1:1">
      <c r="A202" t="s">
        <v>2021</v>
      </c>
    </row>
    <row r="203" spans="1:1">
      <c r="A203" t="s">
        <v>1878</v>
      </c>
    </row>
    <row r="204" spans="1:1">
      <c r="A204" t="s">
        <v>1987</v>
      </c>
    </row>
    <row r="205" spans="1:1">
      <c r="A205" t="s">
        <v>2063</v>
      </c>
    </row>
    <row r="206" spans="1:1">
      <c r="A206" t="s">
        <v>1942</v>
      </c>
    </row>
    <row r="207" spans="1:1">
      <c r="A207" t="s">
        <v>2067</v>
      </c>
    </row>
    <row r="208" spans="1:1">
      <c r="A208" t="s">
        <v>1622</v>
      </c>
    </row>
    <row r="209" spans="1:1">
      <c r="A209" t="s">
        <v>2107</v>
      </c>
    </row>
    <row r="210" spans="1:1">
      <c r="A210" t="s">
        <v>1804</v>
      </c>
    </row>
    <row r="211" spans="1:1">
      <c r="A211" t="s">
        <v>1801</v>
      </c>
    </row>
    <row r="212" spans="1:1">
      <c r="A212" t="s">
        <v>1799</v>
      </c>
    </row>
    <row r="213" spans="1:1">
      <c r="A213" t="s">
        <v>2115</v>
      </c>
    </row>
    <row r="214" spans="1:1">
      <c r="A214" t="s">
        <v>1821</v>
      </c>
    </row>
    <row r="215" spans="1:1">
      <c r="A215" t="s">
        <v>1714</v>
      </c>
    </row>
    <row r="216" spans="1:1">
      <c r="A216" t="s">
        <v>1856</v>
      </c>
    </row>
    <row r="217" spans="1:1">
      <c r="A217" t="s">
        <v>2075</v>
      </c>
    </row>
    <row r="218" spans="1:1">
      <c r="A218" t="s">
        <v>2103</v>
      </c>
    </row>
    <row r="219" spans="1:1">
      <c r="A219" t="s">
        <v>1921</v>
      </c>
    </row>
    <row r="220" spans="1:1">
      <c r="A220" t="s">
        <v>2109</v>
      </c>
    </row>
    <row r="221" spans="1:1">
      <c r="A221" t="s">
        <v>1888</v>
      </c>
    </row>
    <row r="222" spans="1:1">
      <c r="A222" t="s">
        <v>1861</v>
      </c>
    </row>
    <row r="223" spans="1:1">
      <c r="A223" t="s">
        <v>2081</v>
      </c>
    </row>
    <row r="224" spans="1:1">
      <c r="A224" t="s">
        <v>1554</v>
      </c>
    </row>
    <row r="225" spans="1:1">
      <c r="A225" t="s">
        <v>1997</v>
      </c>
    </row>
    <row r="226" spans="1:1">
      <c r="A226" t="s">
        <v>1993</v>
      </c>
    </row>
    <row r="227" spans="1:1">
      <c r="A227" t="s">
        <v>1926</v>
      </c>
    </row>
    <row r="228" spans="1:1">
      <c r="A228" t="s">
        <v>2191</v>
      </c>
    </row>
    <row r="229" spans="1:1">
      <c r="A229" t="s">
        <v>1841</v>
      </c>
    </row>
    <row r="230" spans="1:1">
      <c r="A230" t="s">
        <v>1814</v>
      </c>
    </row>
    <row r="231" spans="1:1">
      <c r="A231" t="s">
        <v>2164</v>
      </c>
    </row>
    <row r="232" spans="1:1">
      <c r="A232" t="s">
        <v>1728</v>
      </c>
    </row>
    <row r="233" spans="1:1">
      <c r="A233" t="s">
        <v>1919</v>
      </c>
    </row>
    <row r="234" spans="1:1">
      <c r="A234" t="s">
        <v>1917</v>
      </c>
    </row>
    <row r="235" spans="1:1">
      <c r="A235" t="s">
        <v>2084</v>
      </c>
    </row>
    <row r="236" spans="1:1">
      <c r="A236" t="s">
        <v>1757</v>
      </c>
    </row>
    <row r="237" spans="1:1">
      <c r="A237" t="s">
        <v>1765</v>
      </c>
    </row>
    <row r="238" spans="1:1">
      <c r="A238" t="s">
        <v>1567</v>
      </c>
    </row>
    <row r="239" spans="1:1">
      <c r="A239" t="s">
        <v>2065</v>
      </c>
    </row>
    <row r="240" spans="1:1">
      <c r="A240" t="s">
        <v>1565</v>
      </c>
    </row>
    <row r="241" spans="1:1">
      <c r="A241" t="s">
        <v>2042</v>
      </c>
    </row>
    <row r="242" spans="1:1">
      <c r="A242" t="s">
        <v>1560</v>
      </c>
    </row>
    <row r="243" spans="1:1">
      <c r="A243" t="s">
        <v>1548</v>
      </c>
    </row>
    <row r="244" spans="1:1">
      <c r="A244" t="s">
        <v>1629</v>
      </c>
    </row>
    <row r="245" spans="1:1">
      <c r="A245" t="s">
        <v>2082</v>
      </c>
    </row>
    <row r="246" spans="1:1">
      <c r="A246" t="s">
        <v>2039</v>
      </c>
    </row>
    <row r="247" spans="1:1">
      <c r="A247" t="s">
        <v>1982</v>
      </c>
    </row>
    <row r="248" spans="1:1">
      <c r="A248" t="s">
        <v>1597</v>
      </c>
    </row>
    <row r="249" spans="1:1">
      <c r="A249" t="s">
        <v>1873</v>
      </c>
    </row>
    <row r="250" spans="1:1">
      <c r="A250" t="s">
        <v>1718</v>
      </c>
    </row>
    <row r="251" spans="1:1">
      <c r="A251" t="s">
        <v>2135</v>
      </c>
    </row>
    <row r="252" spans="1:1">
      <c r="A252" t="s">
        <v>1985</v>
      </c>
    </row>
    <row r="253" spans="1:1">
      <c r="A253" t="s">
        <v>2026</v>
      </c>
    </row>
    <row r="254" spans="1:1">
      <c r="A254" t="s">
        <v>1751</v>
      </c>
    </row>
    <row r="255" spans="1:1">
      <c r="A255" t="s">
        <v>1683</v>
      </c>
    </row>
    <row r="256" spans="1:1">
      <c r="A256" t="s">
        <v>1960</v>
      </c>
    </row>
    <row r="257" spans="1:1">
      <c r="A257" t="s">
        <v>1965</v>
      </c>
    </row>
    <row r="258" spans="1:1">
      <c r="A258" t="s">
        <v>1791</v>
      </c>
    </row>
    <row r="259" spans="1:1">
      <c r="A259" t="s">
        <v>1537</v>
      </c>
    </row>
    <row r="260" spans="1:1">
      <c r="A260" t="s">
        <v>1587</v>
      </c>
    </row>
    <row r="261" spans="1:1">
      <c r="A261" t="s">
        <v>2011</v>
      </c>
    </row>
    <row r="262" spans="1:1">
      <c r="A262" t="s">
        <v>2192</v>
      </c>
    </row>
    <row r="263" spans="1:1">
      <c r="A263" t="s">
        <v>2010</v>
      </c>
    </row>
    <row r="264" spans="1:1">
      <c r="A264" t="s">
        <v>1969</v>
      </c>
    </row>
    <row r="265" spans="1:1">
      <c r="A265" t="s">
        <v>1781</v>
      </c>
    </row>
    <row r="266" spans="1:1">
      <c r="A266" t="s">
        <v>2019</v>
      </c>
    </row>
    <row r="267" spans="1:1">
      <c r="A267" t="s">
        <v>2133</v>
      </c>
    </row>
    <row r="268" spans="1:1">
      <c r="A268" t="s">
        <v>1889</v>
      </c>
    </row>
    <row r="269" spans="1:1">
      <c r="A269" t="s">
        <v>1865</v>
      </c>
    </row>
    <row r="270" spans="1:1">
      <c r="A270" t="s">
        <v>1823</v>
      </c>
    </row>
    <row r="271" spans="1:1">
      <c r="A271" t="s">
        <v>2143</v>
      </c>
    </row>
    <row r="272" spans="1:1">
      <c r="A272" t="s">
        <v>1557</v>
      </c>
    </row>
    <row r="273" spans="1:1">
      <c r="A273" t="s">
        <v>1899</v>
      </c>
    </row>
    <row r="274" spans="1:1">
      <c r="A274" t="s">
        <v>2111</v>
      </c>
    </row>
    <row r="275" spans="1:1">
      <c r="A275" t="s">
        <v>2105</v>
      </c>
    </row>
    <row r="276" spans="1:1">
      <c r="A276" t="s">
        <v>1686</v>
      </c>
    </row>
    <row r="277" spans="1:1">
      <c r="A277" t="s">
        <v>1949</v>
      </c>
    </row>
    <row r="278" spans="1:1">
      <c r="A278" t="s">
        <v>1824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4"/>
  <sheetViews>
    <sheetView topLeftCell="A10" workbookViewId="0">
      <selection activeCell="A21" sqref="A21"/>
    </sheetView>
  </sheetViews>
  <sheetFormatPr defaultColWidth="8.69090909090909" defaultRowHeight="14"/>
  <cols>
    <col min="1" max="1" width="55.0727272727273" customWidth="1"/>
  </cols>
  <sheetData>
    <row r="1" spans="1:1">
      <c r="A1" t="s">
        <v>1</v>
      </c>
    </row>
    <row r="2" spans="1:1">
      <c r="A2" t="s">
        <v>1286</v>
      </c>
    </row>
    <row r="3" spans="1:1">
      <c r="A3" t="s">
        <v>936</v>
      </c>
    </row>
    <row r="4" spans="1:1">
      <c r="A4" t="s">
        <v>1362</v>
      </c>
    </row>
    <row r="5" spans="1:1">
      <c r="A5" t="s">
        <v>678</v>
      </c>
    </row>
    <row r="6" spans="1:1">
      <c r="A6" t="s">
        <v>1250</v>
      </c>
    </row>
    <row r="7" spans="1:1">
      <c r="A7" t="s">
        <v>764</v>
      </c>
    </row>
    <row r="8" spans="1:1">
      <c r="A8" t="s">
        <v>391</v>
      </c>
    </row>
    <row r="9" spans="1:1">
      <c r="A9" t="s">
        <v>579</v>
      </c>
    </row>
    <row r="10" spans="1:1">
      <c r="A10" t="s">
        <v>1431</v>
      </c>
    </row>
    <row r="11" spans="1:1">
      <c r="A11" t="s">
        <v>1219</v>
      </c>
    </row>
    <row r="12" spans="1:1">
      <c r="A12" t="s">
        <v>1453</v>
      </c>
    </row>
    <row r="13" spans="1:1">
      <c r="A13" t="s">
        <v>161</v>
      </c>
    </row>
    <row r="14" spans="1:1">
      <c r="A14" t="s">
        <v>779</v>
      </c>
    </row>
    <row r="15" spans="1:1">
      <c r="A15" t="s">
        <v>1315</v>
      </c>
    </row>
    <row r="16" spans="1:1">
      <c r="A16" t="s">
        <v>1447</v>
      </c>
    </row>
    <row r="17" spans="1:1">
      <c r="A17" t="s">
        <v>869</v>
      </c>
    </row>
    <row r="18" spans="1:1">
      <c r="A18" t="s">
        <v>1438</v>
      </c>
    </row>
    <row r="19" spans="1:1">
      <c r="A19" t="s">
        <v>2193</v>
      </c>
    </row>
    <row r="20" spans="1:1">
      <c r="A20" t="s">
        <v>1192</v>
      </c>
    </row>
    <row r="21" spans="1:1">
      <c r="A21" t="s">
        <v>1439</v>
      </c>
    </row>
    <row r="22" spans="1:1">
      <c r="A22" t="s">
        <v>476</v>
      </c>
    </row>
    <row r="23" spans="1:1">
      <c r="A23" t="s">
        <v>662</v>
      </c>
    </row>
    <row r="24" spans="1:1">
      <c r="A24" t="s">
        <v>1467</v>
      </c>
    </row>
    <row r="25" spans="1:1">
      <c r="A25" t="s">
        <v>262</v>
      </c>
    </row>
    <row r="26" spans="1:1">
      <c r="A26" t="s">
        <v>321</v>
      </c>
    </row>
    <row r="27" spans="1:1">
      <c r="A27" t="s">
        <v>889</v>
      </c>
    </row>
    <row r="28" spans="1:1">
      <c r="A28" t="s">
        <v>2194</v>
      </c>
    </row>
    <row r="29" spans="1:1">
      <c r="A29" t="s">
        <v>247</v>
      </c>
    </row>
    <row r="30" spans="1:1">
      <c r="A30" t="s">
        <v>308</v>
      </c>
    </row>
    <row r="31" spans="1:1">
      <c r="A31" t="s">
        <v>412</v>
      </c>
    </row>
    <row r="32" spans="1:1">
      <c r="A32" t="s">
        <v>643</v>
      </c>
    </row>
    <row r="33" spans="1:1">
      <c r="A33" t="s">
        <v>380</v>
      </c>
    </row>
    <row r="34" spans="1:1">
      <c r="A34" t="s">
        <v>1149</v>
      </c>
    </row>
    <row r="35" spans="1:1">
      <c r="A35" t="s">
        <v>397</v>
      </c>
    </row>
    <row r="36" spans="1:1">
      <c r="A36" t="s">
        <v>1425</v>
      </c>
    </row>
    <row r="37" spans="1:1">
      <c r="A37" t="s">
        <v>1449</v>
      </c>
    </row>
    <row r="38" spans="1:1">
      <c r="A38" t="s">
        <v>1460</v>
      </c>
    </row>
    <row r="39" spans="1:1">
      <c r="A39" t="s">
        <v>526</v>
      </c>
    </row>
    <row r="40" spans="1:1">
      <c r="A40" t="s">
        <v>327</v>
      </c>
    </row>
    <row r="41" spans="1:1">
      <c r="A41" t="s">
        <v>806</v>
      </c>
    </row>
    <row r="42" spans="1:1">
      <c r="A42" t="s">
        <v>1062</v>
      </c>
    </row>
    <row r="43" spans="1:1">
      <c r="A43" t="s">
        <v>336</v>
      </c>
    </row>
    <row r="44" spans="1:1">
      <c r="A44" t="s">
        <v>367</v>
      </c>
    </row>
    <row r="45" spans="1:1">
      <c r="A45" t="s">
        <v>362</v>
      </c>
    </row>
    <row r="46" spans="1:1">
      <c r="A46" t="s">
        <v>1240</v>
      </c>
    </row>
    <row r="47" spans="1:1">
      <c r="A47" t="s">
        <v>895</v>
      </c>
    </row>
    <row r="48" spans="1:1">
      <c r="A48" t="s">
        <v>404</v>
      </c>
    </row>
    <row r="49" spans="1:1">
      <c r="A49" t="s">
        <v>1444</v>
      </c>
    </row>
    <row r="50" spans="1:1">
      <c r="A50" t="s">
        <v>205</v>
      </c>
    </row>
    <row r="51" spans="1:1">
      <c r="A51" t="s">
        <v>1094</v>
      </c>
    </row>
    <row r="52" spans="1:1">
      <c r="A52" t="s">
        <v>2138</v>
      </c>
    </row>
    <row r="53" spans="1:1">
      <c r="A53" t="s">
        <v>1445</v>
      </c>
    </row>
    <row r="54" spans="1:1">
      <c r="A54" t="s">
        <v>226</v>
      </c>
    </row>
    <row r="55" spans="1:1">
      <c r="A55" t="s">
        <v>2195</v>
      </c>
    </row>
    <row r="56" spans="1:1">
      <c r="A56" t="s">
        <v>1269</v>
      </c>
    </row>
    <row r="57" spans="1:1">
      <c r="A57" t="s">
        <v>716</v>
      </c>
    </row>
    <row r="58" spans="1:1">
      <c r="A58" t="s">
        <v>498</v>
      </c>
    </row>
    <row r="59" spans="1:1">
      <c r="A59" t="s">
        <v>860</v>
      </c>
    </row>
    <row r="60" spans="1:1">
      <c r="A60" t="s">
        <v>423</v>
      </c>
    </row>
    <row r="61" spans="1:1">
      <c r="A61" t="s">
        <v>1154</v>
      </c>
    </row>
    <row r="62" spans="1:1">
      <c r="A62" t="s">
        <v>2196</v>
      </c>
    </row>
    <row r="63" spans="1:1">
      <c r="A63" t="s">
        <v>1257</v>
      </c>
    </row>
    <row r="64" spans="1:1">
      <c r="A64" t="s">
        <v>1292</v>
      </c>
    </row>
    <row r="65" spans="1:1">
      <c r="A65" t="s">
        <v>790</v>
      </c>
    </row>
    <row r="66" spans="1:1">
      <c r="A66" t="s">
        <v>855</v>
      </c>
    </row>
    <row r="67" spans="1:1">
      <c r="A67" t="s">
        <v>1281</v>
      </c>
    </row>
    <row r="68" spans="1:1">
      <c r="A68" t="s">
        <v>1302</v>
      </c>
    </row>
    <row r="69" spans="1:1">
      <c r="A69" t="s">
        <v>212</v>
      </c>
    </row>
    <row r="70" spans="1:1">
      <c r="A70" t="s">
        <v>900</v>
      </c>
    </row>
    <row r="71" spans="1:1">
      <c r="A71" t="s">
        <v>1436</v>
      </c>
    </row>
    <row r="72" spans="1:1">
      <c r="A72" t="s">
        <v>688</v>
      </c>
    </row>
    <row r="73" spans="1:1">
      <c r="A73" t="s">
        <v>1178</v>
      </c>
    </row>
    <row r="74" spans="1:1">
      <c r="A74" t="s">
        <v>1172</v>
      </c>
    </row>
    <row r="75" spans="1:1">
      <c r="A75" t="s">
        <v>296</v>
      </c>
    </row>
    <row r="76" spans="1:1">
      <c r="A76" t="s">
        <v>864</v>
      </c>
    </row>
    <row r="77" spans="1:1">
      <c r="A77" t="s">
        <v>1414</v>
      </c>
    </row>
    <row r="78" spans="1:1">
      <c r="A78" t="s">
        <v>916</v>
      </c>
    </row>
    <row r="79" spans="1:1">
      <c r="A79" t="s">
        <v>1144</v>
      </c>
    </row>
    <row r="80" spans="1:1">
      <c r="A80" t="s">
        <v>722</v>
      </c>
    </row>
    <row r="81" spans="1:1">
      <c r="A81" t="s">
        <v>670</v>
      </c>
    </row>
    <row r="82" spans="1:1">
      <c r="A82" t="s">
        <v>1338</v>
      </c>
    </row>
    <row r="83" spans="1:1">
      <c r="A83" t="s">
        <v>2197</v>
      </c>
    </row>
    <row r="84" spans="1:1">
      <c r="A84" t="s">
        <v>1471</v>
      </c>
    </row>
    <row r="85" spans="1:1">
      <c r="A85" t="s">
        <v>828</v>
      </c>
    </row>
    <row r="86" spans="1:1">
      <c r="A86" t="s">
        <v>277</v>
      </c>
    </row>
    <row r="87" spans="1:1">
      <c r="A87" t="s">
        <v>851</v>
      </c>
    </row>
    <row r="88" spans="1:1">
      <c r="A88" t="s">
        <v>811</v>
      </c>
    </row>
    <row r="89" spans="1:1">
      <c r="A89" t="s">
        <v>1610</v>
      </c>
    </row>
    <row r="90" spans="1:1">
      <c r="A90" t="s">
        <v>883</v>
      </c>
    </row>
    <row r="91" spans="1:1">
      <c r="A91" t="s">
        <v>1044</v>
      </c>
    </row>
    <row r="92" spans="1:1">
      <c r="A92" t="s">
        <v>1405</v>
      </c>
    </row>
    <row r="93" spans="1:1">
      <c r="A93" t="s">
        <v>1212</v>
      </c>
    </row>
    <row r="94" spans="1:1">
      <c r="A94" t="s">
        <v>491</v>
      </c>
    </row>
    <row r="95" spans="1:1">
      <c r="A95" t="s">
        <v>1264</v>
      </c>
    </row>
    <row r="96" spans="1:1">
      <c r="A96" t="s">
        <v>614</v>
      </c>
    </row>
    <row r="97" spans="1:1">
      <c r="A97" t="s">
        <v>31</v>
      </c>
    </row>
    <row r="98" spans="1:1">
      <c r="A98" t="s">
        <v>1056</v>
      </c>
    </row>
    <row r="99" spans="1:1">
      <c r="A99" t="s">
        <v>1380</v>
      </c>
    </row>
    <row r="100" spans="1:1">
      <c r="A100" t="s">
        <v>349</v>
      </c>
    </row>
    <row r="101" spans="1:1">
      <c r="A101" t="s">
        <v>635</v>
      </c>
    </row>
    <row r="102" spans="1:1">
      <c r="A102" t="s">
        <v>1166</v>
      </c>
    </row>
    <row r="103" spans="1:1">
      <c r="A103" t="s">
        <v>650</v>
      </c>
    </row>
    <row r="104" spans="1:1">
      <c r="A104" t="s">
        <v>622</v>
      </c>
    </row>
    <row r="105" spans="1:1">
      <c r="A105" t="s">
        <v>1050</v>
      </c>
    </row>
    <row r="106" spans="1:1">
      <c r="A106" t="s">
        <v>1374</v>
      </c>
    </row>
    <row r="107" spans="1:1">
      <c r="A107" t="s">
        <v>373</v>
      </c>
    </row>
    <row r="108" spans="1:1">
      <c r="A108" t="s">
        <v>167</v>
      </c>
    </row>
    <row r="109" spans="1:1">
      <c r="A109" t="s">
        <v>1958</v>
      </c>
    </row>
    <row r="110" spans="1:1">
      <c r="A110" t="s">
        <v>113</v>
      </c>
    </row>
    <row r="111" spans="1:1">
      <c r="A111" t="s">
        <v>485</v>
      </c>
    </row>
    <row r="112" spans="1:1">
      <c r="A112" t="s">
        <v>513</v>
      </c>
    </row>
    <row r="113" spans="1:1">
      <c r="A113" t="s">
        <v>1038</v>
      </c>
    </row>
    <row r="114" spans="1:1">
      <c r="A114" t="s">
        <v>1469</v>
      </c>
    </row>
    <row r="115" spans="1:1">
      <c r="A115" t="s">
        <v>1075</v>
      </c>
    </row>
    <row r="116" spans="1:1">
      <c r="A116" t="s">
        <v>1087</v>
      </c>
    </row>
    <row r="117" spans="1:1">
      <c r="A117" t="s">
        <v>800</v>
      </c>
    </row>
    <row r="118" spans="1:1">
      <c r="A118" t="s">
        <v>727</v>
      </c>
    </row>
    <row r="119" spans="1:1">
      <c r="A119" t="s">
        <v>1135</v>
      </c>
    </row>
    <row r="120" spans="1:1">
      <c r="A120" t="s">
        <v>153</v>
      </c>
    </row>
    <row r="121" spans="1:1">
      <c r="A121" t="s">
        <v>75</v>
      </c>
    </row>
    <row r="122" spans="1:1">
      <c r="A122" t="s">
        <v>1109</v>
      </c>
    </row>
    <row r="123" spans="1:1">
      <c r="A123" t="s">
        <v>535</v>
      </c>
    </row>
    <row r="124" spans="1:1">
      <c r="A124" t="s">
        <v>586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6"/>
  <sheetViews>
    <sheetView workbookViewId="0">
      <selection activeCell="A1" sqref="A$1:A$1048576"/>
    </sheetView>
  </sheetViews>
  <sheetFormatPr defaultColWidth="8.69090909090909" defaultRowHeight="14"/>
  <cols>
    <col min="1" max="1" width="37.1545454545455" customWidth="1"/>
  </cols>
  <sheetData>
    <row r="1" spans="1:1">
      <c r="A1" t="s">
        <v>1</v>
      </c>
    </row>
    <row r="2" spans="1:1">
      <c r="A2" t="s">
        <v>1286</v>
      </c>
    </row>
    <row r="3" spans="1:1">
      <c r="A3" t="s">
        <v>936</v>
      </c>
    </row>
    <row r="4" spans="1:1">
      <c r="A4" t="s">
        <v>1362</v>
      </c>
    </row>
    <row r="5" spans="1:1">
      <c r="A5" t="s">
        <v>678</v>
      </c>
    </row>
    <row r="6" spans="1:1">
      <c r="A6" t="s">
        <v>1250</v>
      </c>
    </row>
    <row r="7" spans="1:1">
      <c r="A7" t="s">
        <v>391</v>
      </c>
    </row>
    <row r="8" spans="1:1">
      <c r="A8" t="s">
        <v>535</v>
      </c>
    </row>
    <row r="9" spans="1:1">
      <c r="A9" t="s">
        <v>1431</v>
      </c>
    </row>
    <row r="10" spans="1:1">
      <c r="A10" t="s">
        <v>1453</v>
      </c>
    </row>
    <row r="11" spans="1:1">
      <c r="A11" t="s">
        <v>161</v>
      </c>
    </row>
    <row r="12" spans="1:1">
      <c r="A12" t="s">
        <v>779</v>
      </c>
    </row>
    <row r="13" spans="1:1">
      <c r="A13" t="s">
        <v>1135</v>
      </c>
    </row>
    <row r="14" spans="1:1">
      <c r="A14" t="s">
        <v>869</v>
      </c>
    </row>
    <row r="15" spans="1:1">
      <c r="A15" t="s">
        <v>1438</v>
      </c>
    </row>
    <row r="16" spans="1:1">
      <c r="A16" t="s">
        <v>1439</v>
      </c>
    </row>
    <row r="17" spans="1:1">
      <c r="A17" t="s">
        <v>476</v>
      </c>
    </row>
    <row r="18" spans="1:1">
      <c r="A18" t="s">
        <v>662</v>
      </c>
    </row>
    <row r="19" spans="1:1">
      <c r="A19" t="s">
        <v>321</v>
      </c>
    </row>
    <row r="20" spans="1:1">
      <c r="A20" t="s">
        <v>889</v>
      </c>
    </row>
    <row r="21" spans="1:1">
      <c r="A21" t="s">
        <v>308</v>
      </c>
    </row>
    <row r="22" spans="1:1">
      <c r="A22" t="s">
        <v>643</v>
      </c>
    </row>
    <row r="23" spans="1:1">
      <c r="A23" t="s">
        <v>397</v>
      </c>
    </row>
    <row r="24" spans="1:1">
      <c r="A24" t="s">
        <v>1425</v>
      </c>
    </row>
    <row r="25" spans="1:1">
      <c r="A25" t="s">
        <v>1449</v>
      </c>
    </row>
    <row r="26" spans="1:1">
      <c r="A26" t="s">
        <v>1460</v>
      </c>
    </row>
    <row r="27" spans="1:1">
      <c r="A27" t="s">
        <v>327</v>
      </c>
    </row>
    <row r="28" spans="1:1">
      <c r="A28" t="s">
        <v>336</v>
      </c>
    </row>
    <row r="29" spans="1:1">
      <c r="A29" t="s">
        <v>367</v>
      </c>
    </row>
    <row r="30" spans="1:1">
      <c r="A30" t="s">
        <v>404</v>
      </c>
    </row>
    <row r="31" spans="1:1">
      <c r="A31" t="s">
        <v>1094</v>
      </c>
    </row>
    <row r="32" spans="1:1">
      <c r="A32" t="s">
        <v>2138</v>
      </c>
    </row>
    <row r="33" spans="1:1">
      <c r="A33" t="s">
        <v>1445</v>
      </c>
    </row>
    <row r="34" spans="1:1">
      <c r="A34" t="s">
        <v>2195</v>
      </c>
    </row>
    <row r="35" spans="1:1">
      <c r="A35" t="s">
        <v>1154</v>
      </c>
    </row>
    <row r="36" spans="1:1">
      <c r="A36" t="s">
        <v>2196</v>
      </c>
    </row>
    <row r="37" spans="1:1">
      <c r="A37" t="s">
        <v>1257</v>
      </c>
    </row>
    <row r="38" spans="1:1">
      <c r="A38" t="s">
        <v>855</v>
      </c>
    </row>
    <row r="39" spans="1:1">
      <c r="A39" t="s">
        <v>1436</v>
      </c>
    </row>
    <row r="40" spans="1:1">
      <c r="A40" t="s">
        <v>688</v>
      </c>
    </row>
    <row r="41" spans="1:1">
      <c r="A41" t="s">
        <v>1178</v>
      </c>
    </row>
    <row r="42" spans="1:1">
      <c r="A42" t="s">
        <v>296</v>
      </c>
    </row>
    <row r="43" spans="1:1">
      <c r="A43" t="s">
        <v>1414</v>
      </c>
    </row>
    <row r="44" spans="1:1">
      <c r="A44" t="s">
        <v>916</v>
      </c>
    </row>
    <row r="45" spans="1:1">
      <c r="A45" t="s">
        <v>670</v>
      </c>
    </row>
    <row r="46" spans="1:1">
      <c r="A46" t="s">
        <v>1338</v>
      </c>
    </row>
    <row r="47" spans="1:1">
      <c r="A47" t="s">
        <v>2197</v>
      </c>
    </row>
    <row r="48" spans="1:1">
      <c r="A48" t="s">
        <v>277</v>
      </c>
    </row>
    <row r="49" spans="1:1">
      <c r="A49" t="s">
        <v>1610</v>
      </c>
    </row>
    <row r="50" spans="1:1">
      <c r="A50" t="s">
        <v>883</v>
      </c>
    </row>
    <row r="51" spans="1:1">
      <c r="A51" t="s">
        <v>1044</v>
      </c>
    </row>
    <row r="52" spans="1:1">
      <c r="A52" t="s">
        <v>1405</v>
      </c>
    </row>
    <row r="53" spans="1:1">
      <c r="A53" t="s">
        <v>1212</v>
      </c>
    </row>
    <row r="54" spans="1:1">
      <c r="A54" t="s">
        <v>491</v>
      </c>
    </row>
    <row r="55" spans="1:1">
      <c r="A55" t="s">
        <v>614</v>
      </c>
    </row>
    <row r="56" spans="1:1">
      <c r="A56" t="s">
        <v>1056</v>
      </c>
    </row>
    <row r="57" spans="1:1">
      <c r="A57" t="s">
        <v>349</v>
      </c>
    </row>
    <row r="58" spans="1:1">
      <c r="A58" t="s">
        <v>635</v>
      </c>
    </row>
    <row r="59" spans="1:1">
      <c r="A59" t="s">
        <v>622</v>
      </c>
    </row>
    <row r="60" spans="1:1">
      <c r="A60" t="s">
        <v>1050</v>
      </c>
    </row>
    <row r="61" spans="1:1">
      <c r="A61" t="s">
        <v>1374</v>
      </c>
    </row>
    <row r="62" spans="1:1">
      <c r="A62" t="s">
        <v>373</v>
      </c>
    </row>
    <row r="63" spans="1:1">
      <c r="A63" t="s">
        <v>113</v>
      </c>
    </row>
    <row r="64" spans="1:1">
      <c r="A64" t="s">
        <v>485</v>
      </c>
    </row>
    <row r="65" spans="1:1">
      <c r="A65" t="s">
        <v>1038</v>
      </c>
    </row>
    <row r="66" spans="1:1">
      <c r="A66" t="s">
        <v>1469</v>
      </c>
    </row>
    <row r="67" spans="1:1">
      <c r="A67" t="s">
        <v>1075</v>
      </c>
    </row>
    <row r="68" spans="1:1">
      <c r="A68" t="s">
        <v>1087</v>
      </c>
    </row>
    <row r="69" spans="1:1">
      <c r="A69" t="s">
        <v>586</v>
      </c>
    </row>
    <row r="70" spans="1:1">
      <c r="A70" t="s">
        <v>727</v>
      </c>
    </row>
    <row r="71" spans="1:1">
      <c r="A71" t="s">
        <v>1219</v>
      </c>
    </row>
    <row r="72" spans="1:1">
      <c r="A72" t="s">
        <v>247</v>
      </c>
    </row>
    <row r="73" spans="1:1">
      <c r="A73" t="s">
        <v>1292</v>
      </c>
    </row>
    <row r="74" spans="1:1">
      <c r="A74" t="s">
        <v>1302</v>
      </c>
    </row>
    <row r="75" spans="1:1">
      <c r="A75" t="s">
        <v>75</v>
      </c>
    </row>
    <row r="76" spans="1:1">
      <c r="A76" t="s">
        <v>828</v>
      </c>
    </row>
    <row r="77" spans="1:1">
      <c r="A77" t="s">
        <v>31</v>
      </c>
    </row>
    <row r="78" spans="1:1">
      <c r="A78" t="s">
        <v>513</v>
      </c>
    </row>
    <row r="79" spans="1:1">
      <c r="A79" t="s">
        <v>1192</v>
      </c>
    </row>
    <row r="80" spans="1:1">
      <c r="A80" t="s">
        <v>262</v>
      </c>
    </row>
    <row r="81" spans="1:1">
      <c r="A81" t="s">
        <v>226</v>
      </c>
    </row>
    <row r="82" spans="1:1">
      <c r="A82" t="s">
        <v>212</v>
      </c>
    </row>
    <row r="83" spans="1:1">
      <c r="A83" t="s">
        <v>1471</v>
      </c>
    </row>
    <row r="84" spans="1:1">
      <c r="A84" t="s">
        <v>1109</v>
      </c>
    </row>
    <row r="85" spans="1:1">
      <c r="A85" t="s">
        <v>153</v>
      </c>
    </row>
    <row r="86" spans="1:1">
      <c r="A86" t="s">
        <v>167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zoomScale="70" zoomScaleNormal="70" workbookViewId="0">
      <selection activeCell="A2" sqref="A2:A26"/>
    </sheetView>
  </sheetViews>
  <sheetFormatPr defaultColWidth="8.69090909090909" defaultRowHeight="14" outlineLevelCol="2"/>
  <cols>
    <col min="1" max="1" width="45.6909090909091" customWidth="1"/>
    <col min="2" max="2" width="18.0727272727273" customWidth="1"/>
    <col min="3" max="3" width="56.6090909090909" customWidth="1"/>
  </cols>
  <sheetData>
    <row r="1" spans="1:3">
      <c r="A1" s="20" t="s">
        <v>1517</v>
      </c>
      <c r="B1" s="20" t="s">
        <v>1519</v>
      </c>
      <c r="C1" s="20" t="s">
        <v>1520</v>
      </c>
    </row>
    <row r="2" spans="1:3">
      <c r="A2" s="21" t="s">
        <v>1544</v>
      </c>
      <c r="B2" s="21">
        <v>2025</v>
      </c>
      <c r="C2" s="21" t="s">
        <v>1545</v>
      </c>
    </row>
    <row r="3" spans="1:3">
      <c r="A3" s="21" t="s">
        <v>1556</v>
      </c>
      <c r="B3" s="21">
        <v>2025</v>
      </c>
      <c r="C3" s="21" t="s">
        <v>1557</v>
      </c>
    </row>
    <row r="4" spans="1:3">
      <c r="A4" s="21" t="s">
        <v>1556</v>
      </c>
      <c r="B4" s="21">
        <v>2021</v>
      </c>
      <c r="C4" s="21" t="s">
        <v>1560</v>
      </c>
    </row>
    <row r="5" ht="15" spans="1:3">
      <c r="A5" s="21" t="s">
        <v>1600</v>
      </c>
      <c r="B5" s="22">
        <v>2023</v>
      </c>
      <c r="C5" s="21" t="s">
        <v>1601</v>
      </c>
    </row>
    <row r="6" spans="1:3">
      <c r="A6" s="21" t="s">
        <v>1652</v>
      </c>
      <c r="B6" s="21">
        <v>2025</v>
      </c>
      <c r="C6" s="21" t="s">
        <v>1653</v>
      </c>
    </row>
    <row r="7" spans="1:3">
      <c r="A7" s="21" t="s">
        <v>1665</v>
      </c>
      <c r="B7" s="21">
        <v>2025</v>
      </c>
      <c r="C7" s="21" t="s">
        <v>1666</v>
      </c>
    </row>
    <row r="8" spans="1:3">
      <c r="A8" s="21" t="s">
        <v>1682</v>
      </c>
      <c r="B8" s="21">
        <v>2025</v>
      </c>
      <c r="C8" s="21" t="s">
        <v>1683</v>
      </c>
    </row>
    <row r="9" spans="1:3">
      <c r="A9" s="23" t="s">
        <v>1860</v>
      </c>
      <c r="B9" s="21">
        <v>2025</v>
      </c>
      <c r="C9" s="21" t="s">
        <v>1861</v>
      </c>
    </row>
    <row r="10" spans="1:3">
      <c r="A10" s="21" t="s">
        <v>1860</v>
      </c>
      <c r="B10" s="21">
        <v>2006</v>
      </c>
      <c r="C10" s="21" t="s">
        <v>1863</v>
      </c>
    </row>
    <row r="11" spans="1:3">
      <c r="A11" s="21" t="s">
        <v>1860</v>
      </c>
      <c r="B11" s="21">
        <v>2025</v>
      </c>
      <c r="C11" s="21" t="s">
        <v>1865</v>
      </c>
    </row>
    <row r="12" spans="1:3">
      <c r="A12" s="21" t="s">
        <v>1790</v>
      </c>
      <c r="B12" s="21">
        <v>2025</v>
      </c>
      <c r="C12" s="21" t="s">
        <v>1791</v>
      </c>
    </row>
    <row r="13" spans="1:3">
      <c r="A13" s="21" t="s">
        <v>1790</v>
      </c>
      <c r="B13" s="21">
        <v>2020</v>
      </c>
      <c r="C13" s="21" t="s">
        <v>1793</v>
      </c>
    </row>
    <row r="14" spans="1:3">
      <c r="A14" s="21" t="s">
        <v>1805</v>
      </c>
      <c r="B14" s="21">
        <v>2024</v>
      </c>
      <c r="C14" s="21" t="s">
        <v>1806</v>
      </c>
    </row>
    <row r="15" ht="15" spans="1:3">
      <c r="A15" s="24" t="s">
        <v>1948</v>
      </c>
      <c r="B15" s="22">
        <v>2018</v>
      </c>
      <c r="C15" s="21" t="s">
        <v>1949</v>
      </c>
    </row>
    <row r="16" spans="1:3">
      <c r="A16" s="21" t="s">
        <v>1964</v>
      </c>
      <c r="B16" s="21">
        <v>2023</v>
      </c>
      <c r="C16" s="21" t="s">
        <v>1965</v>
      </c>
    </row>
    <row r="17" spans="1:3">
      <c r="A17" s="21" t="s">
        <v>1984</v>
      </c>
      <c r="B17" s="21">
        <v>2025</v>
      </c>
      <c r="C17" s="21" t="s">
        <v>1985</v>
      </c>
    </row>
    <row r="18" spans="1:3">
      <c r="A18" s="21" t="s">
        <v>2006</v>
      </c>
      <c r="B18" s="21">
        <v>2025</v>
      </c>
      <c r="C18" s="21" t="s">
        <v>2007</v>
      </c>
    </row>
    <row r="19" spans="1:3">
      <c r="A19" s="21" t="s">
        <v>2012</v>
      </c>
      <c r="B19" s="21">
        <v>2020</v>
      </c>
      <c r="C19" s="21" t="s">
        <v>2013</v>
      </c>
    </row>
    <row r="20" spans="1:3">
      <c r="A20" s="21" t="s">
        <v>2080</v>
      </c>
      <c r="B20" s="21">
        <v>2025</v>
      </c>
      <c r="C20" s="21" t="s">
        <v>2081</v>
      </c>
    </row>
    <row r="21" spans="1:3">
      <c r="A21" s="25" t="s">
        <v>1920</v>
      </c>
      <c r="B21" s="21">
        <v>2025</v>
      </c>
      <c r="C21" s="21" t="s">
        <v>1921</v>
      </c>
    </row>
    <row r="22" spans="1:3">
      <c r="A22" s="21" t="s">
        <v>1883</v>
      </c>
      <c r="B22" s="21">
        <v>2025</v>
      </c>
      <c r="C22" s="21" t="s">
        <v>1884</v>
      </c>
    </row>
    <row r="23" spans="1:3">
      <c r="A23" s="21" t="s">
        <v>2092</v>
      </c>
      <c r="B23" s="21">
        <v>2025</v>
      </c>
      <c r="C23" s="21" t="s">
        <v>2093</v>
      </c>
    </row>
    <row r="24" spans="1:3">
      <c r="A24" s="21" t="s">
        <v>2150</v>
      </c>
      <c r="B24" s="21">
        <v>2025</v>
      </c>
      <c r="C24" s="21" t="s">
        <v>2151</v>
      </c>
    </row>
    <row r="25" spans="1:3">
      <c r="A25" s="21" t="s">
        <v>2150</v>
      </c>
      <c r="B25" s="21">
        <v>2025</v>
      </c>
      <c r="C25" s="21" t="s">
        <v>2152</v>
      </c>
    </row>
    <row r="26" spans="1:3">
      <c r="A26" s="21" t="s">
        <v>2170</v>
      </c>
      <c r="B26" s="21">
        <v>2025</v>
      </c>
      <c r="C26" s="21" t="s">
        <v>2171</v>
      </c>
    </row>
  </sheetData>
  <autoFilter xmlns:etc="http://www.wps.cn/officeDocument/2017/etCustomData" ref="C1:C26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1"/>
  <sheetViews>
    <sheetView zoomScale="70" zoomScaleNormal="70" workbookViewId="0">
      <selection activeCell="B28" sqref="B28"/>
    </sheetView>
  </sheetViews>
  <sheetFormatPr defaultColWidth="8.72727272727273" defaultRowHeight="14"/>
  <cols>
    <col min="1" max="1" width="9.81818181818182" style="1"/>
    <col min="2" max="2" width="90.0909090909091" style="1" customWidth="1"/>
    <col min="3" max="3" width="38.8181818181818" style="2" customWidth="1"/>
    <col min="4" max="4" width="24.9090909090909" style="1" customWidth="1"/>
    <col min="5" max="5" width="12.9090909090909" style="1" customWidth="1"/>
    <col min="6" max="6" width="13.4545454545455" style="1" customWidth="1"/>
    <col min="7" max="7" width="23.9090909090909" style="1" customWidth="1"/>
    <col min="8" max="8" width="28.2727272727273" style="1" customWidth="1"/>
    <col min="9" max="9" width="17.1818181818182" style="1" customWidth="1"/>
  </cols>
  <sheetData>
    <row r="1" spans="1:9">
      <c r="A1" s="2" t="s">
        <v>2198</v>
      </c>
      <c r="B1" s="1" t="s">
        <v>2199</v>
      </c>
      <c r="C1" s="2" t="s">
        <v>2200</v>
      </c>
      <c r="D1" s="2" t="s">
        <v>2201</v>
      </c>
      <c r="E1" s="1" t="s">
        <v>2202</v>
      </c>
      <c r="F1" s="1" t="s">
        <v>2203</v>
      </c>
      <c r="G1" s="1" t="s">
        <v>2204</v>
      </c>
      <c r="H1" s="1" t="s">
        <v>2205</v>
      </c>
      <c r="I1" s="1" t="s">
        <v>2206</v>
      </c>
    </row>
    <row r="2" spans="1:9">
      <c r="A2" s="3">
        <v>1</v>
      </c>
      <c r="B2" s="4" t="s">
        <v>2207</v>
      </c>
      <c r="C2" s="3" t="s">
        <v>2208</v>
      </c>
      <c r="D2" s="3" t="s">
        <v>2209</v>
      </c>
      <c r="E2" s="4" t="s">
        <v>37</v>
      </c>
      <c r="F2" s="4">
        <v>2.68</v>
      </c>
      <c r="G2" s="4"/>
      <c r="H2" s="4"/>
      <c r="I2" s="4" t="s">
        <v>2210</v>
      </c>
    </row>
    <row r="3" spans="1:9">
      <c r="A3" s="3">
        <v>2</v>
      </c>
      <c r="B3" s="4" t="s">
        <v>2211</v>
      </c>
      <c r="C3" s="3" t="s">
        <v>2212</v>
      </c>
      <c r="D3" s="3" t="s">
        <v>2213</v>
      </c>
      <c r="E3" s="4"/>
      <c r="F3" s="4"/>
      <c r="G3" s="4"/>
      <c r="H3" s="4"/>
      <c r="I3" s="4" t="s">
        <v>2214</v>
      </c>
    </row>
    <row r="4" spans="1:9">
      <c r="A4" s="5">
        <v>3</v>
      </c>
      <c r="B4" s="6" t="s">
        <v>2151</v>
      </c>
      <c r="C4" s="5" t="s">
        <v>2215</v>
      </c>
      <c r="D4" s="5" t="s">
        <v>2216</v>
      </c>
      <c r="E4" s="7"/>
      <c r="F4" s="7"/>
      <c r="G4" s="7"/>
      <c r="H4" s="7">
        <v>1</v>
      </c>
      <c r="I4" s="7"/>
    </row>
    <row r="5" spans="1:9">
      <c r="A5" s="3">
        <v>4</v>
      </c>
      <c r="B5" s="4" t="s">
        <v>2217</v>
      </c>
      <c r="C5" s="3" t="s">
        <v>2218</v>
      </c>
      <c r="D5" s="3" t="s">
        <v>2219</v>
      </c>
      <c r="E5" s="4"/>
      <c r="F5" s="4"/>
      <c r="G5" s="4"/>
      <c r="H5" s="4"/>
      <c r="I5" s="4" t="s">
        <v>2214</v>
      </c>
    </row>
    <row r="6" spans="1:9">
      <c r="A6" s="3">
        <v>5</v>
      </c>
      <c r="B6" s="4" t="s">
        <v>2220</v>
      </c>
      <c r="C6" s="3"/>
      <c r="D6" s="3"/>
      <c r="E6" s="4"/>
      <c r="F6" s="4"/>
      <c r="G6" s="4" t="s">
        <v>2221</v>
      </c>
      <c r="H6" s="4"/>
      <c r="I6" s="4" t="s">
        <v>2214</v>
      </c>
    </row>
    <row r="7" spans="1:9">
      <c r="A7" s="3">
        <v>6</v>
      </c>
      <c r="B7" s="4" t="s">
        <v>2222</v>
      </c>
      <c r="C7" s="3" t="s">
        <v>2212</v>
      </c>
      <c r="D7" s="3" t="s">
        <v>2223</v>
      </c>
      <c r="E7" s="4" t="s">
        <v>2224</v>
      </c>
      <c r="F7" s="4">
        <v>1.39</v>
      </c>
      <c r="G7" s="4" t="s">
        <v>2225</v>
      </c>
      <c r="H7" s="4"/>
      <c r="I7" s="4" t="s">
        <v>2214</v>
      </c>
    </row>
    <row r="8" spans="1:9">
      <c r="A8" s="3">
        <v>7</v>
      </c>
      <c r="B8" s="4" t="s">
        <v>2226</v>
      </c>
      <c r="C8" s="3" t="s">
        <v>2227</v>
      </c>
      <c r="D8" s="3" t="s">
        <v>2228</v>
      </c>
      <c r="E8" s="4" t="s">
        <v>79</v>
      </c>
      <c r="F8" s="4">
        <v>1.14</v>
      </c>
      <c r="G8" s="4" t="s">
        <v>2229</v>
      </c>
      <c r="H8" s="4"/>
      <c r="I8" s="4" t="s">
        <v>2214</v>
      </c>
    </row>
    <row r="9" spans="1:9">
      <c r="A9" s="3">
        <v>8</v>
      </c>
      <c r="B9" s="4" t="s">
        <v>2230</v>
      </c>
      <c r="C9" s="3" t="s">
        <v>2231</v>
      </c>
      <c r="D9" s="3" t="s">
        <v>2232</v>
      </c>
      <c r="E9" s="4"/>
      <c r="F9" s="4"/>
      <c r="G9" s="4" t="s">
        <v>2229</v>
      </c>
      <c r="H9" s="4"/>
      <c r="I9" s="4" t="s">
        <v>2214</v>
      </c>
    </row>
    <row r="10" spans="1:9">
      <c r="A10" s="3">
        <v>9</v>
      </c>
      <c r="B10" s="4" t="s">
        <v>2233</v>
      </c>
      <c r="C10" s="3" t="s">
        <v>2234</v>
      </c>
      <c r="D10" s="3" t="s">
        <v>2235</v>
      </c>
      <c r="E10" s="4"/>
      <c r="F10" s="4"/>
      <c r="G10" s="4"/>
      <c r="H10" s="4"/>
      <c r="I10" s="4" t="s">
        <v>2236</v>
      </c>
    </row>
    <row r="11" ht="16" spans="1:9">
      <c r="A11" s="3">
        <v>10</v>
      </c>
      <c r="B11" s="4" t="s">
        <v>2237</v>
      </c>
      <c r="C11" s="8" t="s">
        <v>2218</v>
      </c>
      <c r="D11" s="8" t="s">
        <v>2238</v>
      </c>
      <c r="E11" s="4" t="s">
        <v>37</v>
      </c>
      <c r="F11" s="4">
        <v>1.13</v>
      </c>
      <c r="G11" s="4" t="s">
        <v>2239</v>
      </c>
      <c r="H11" s="4"/>
      <c r="I11" s="4" t="s">
        <v>2240</v>
      </c>
    </row>
    <row r="12" spans="1:9">
      <c r="A12" s="3">
        <v>11</v>
      </c>
      <c r="B12" s="4" t="s">
        <v>2241</v>
      </c>
      <c r="C12" s="3" t="s">
        <v>2242</v>
      </c>
      <c r="D12" s="3" t="s">
        <v>2243</v>
      </c>
      <c r="E12" s="4"/>
      <c r="F12" s="4"/>
      <c r="G12" s="4"/>
      <c r="H12" s="4"/>
      <c r="I12" s="4" t="s">
        <v>2236</v>
      </c>
    </row>
    <row r="13" spans="1:9">
      <c r="A13" s="3">
        <v>12</v>
      </c>
      <c r="B13" s="4" t="s">
        <v>2244</v>
      </c>
      <c r="C13" s="3"/>
      <c r="D13" s="3"/>
      <c r="E13" s="4"/>
      <c r="F13" s="4"/>
      <c r="G13" s="4" t="s">
        <v>2245</v>
      </c>
      <c r="H13" s="4"/>
      <c r="I13" s="4" t="s">
        <v>2214</v>
      </c>
    </row>
    <row r="14" spans="1:9">
      <c r="A14" s="3">
        <v>13</v>
      </c>
      <c r="B14" s="4" t="s">
        <v>2246</v>
      </c>
      <c r="C14" s="3" t="s">
        <v>2231</v>
      </c>
      <c r="D14" s="3" t="s">
        <v>2247</v>
      </c>
      <c r="E14" s="4"/>
      <c r="F14" s="4"/>
      <c r="G14" s="4" t="s">
        <v>2229</v>
      </c>
      <c r="H14" s="4"/>
      <c r="I14" s="4" t="s">
        <v>2214</v>
      </c>
    </row>
    <row r="15" spans="1:9">
      <c r="A15" s="3">
        <v>14</v>
      </c>
      <c r="B15" s="4" t="s">
        <v>2248</v>
      </c>
      <c r="C15" s="3"/>
      <c r="D15" s="3"/>
      <c r="E15" s="4"/>
      <c r="F15" s="4"/>
      <c r="G15" s="4" t="s">
        <v>2249</v>
      </c>
      <c r="H15" s="4"/>
      <c r="I15" s="4" t="s">
        <v>2214</v>
      </c>
    </row>
    <row r="16" spans="1:9">
      <c r="A16" s="3">
        <v>15</v>
      </c>
      <c r="B16" s="4" t="s">
        <v>2250</v>
      </c>
      <c r="C16" s="9" t="s">
        <v>2218</v>
      </c>
      <c r="D16" s="3" t="s">
        <v>2251</v>
      </c>
      <c r="E16" s="4" t="s">
        <v>79</v>
      </c>
      <c r="F16" s="4">
        <v>1.48</v>
      </c>
      <c r="G16" s="4" t="s">
        <v>2252</v>
      </c>
      <c r="H16" s="4"/>
      <c r="I16" s="4" t="s">
        <v>2214</v>
      </c>
    </row>
    <row r="17" spans="1:9">
      <c r="A17" s="3">
        <v>16</v>
      </c>
      <c r="B17" s="4" t="s">
        <v>2253</v>
      </c>
      <c r="C17" s="3"/>
      <c r="D17" s="3"/>
      <c r="E17" s="4"/>
      <c r="F17" s="4"/>
      <c r="G17" s="4" t="s">
        <v>2254</v>
      </c>
      <c r="H17" s="4"/>
      <c r="I17" s="4" t="s">
        <v>2214</v>
      </c>
    </row>
    <row r="18" spans="1:9">
      <c r="A18" s="3">
        <v>17</v>
      </c>
      <c r="B18" s="4" t="s">
        <v>2255</v>
      </c>
      <c r="C18" s="3" t="s">
        <v>2256</v>
      </c>
      <c r="D18" s="3" t="s">
        <v>2257</v>
      </c>
      <c r="E18" s="4"/>
      <c r="F18" s="4"/>
      <c r="G18" s="4" t="s">
        <v>2258</v>
      </c>
      <c r="H18" s="4"/>
      <c r="I18" s="4" t="s">
        <v>2214</v>
      </c>
    </row>
    <row r="19" spans="1:9">
      <c r="A19" s="3">
        <v>18</v>
      </c>
      <c r="B19" s="4" t="s">
        <v>2259</v>
      </c>
      <c r="C19" s="3"/>
      <c r="D19" s="3"/>
      <c r="E19" s="4"/>
      <c r="F19" s="4"/>
      <c r="G19" s="4" t="s">
        <v>2245</v>
      </c>
      <c r="H19" s="4"/>
      <c r="I19" s="4" t="s">
        <v>2214</v>
      </c>
    </row>
    <row r="20" spans="1:9">
      <c r="A20" s="3">
        <v>19</v>
      </c>
      <c r="B20" s="10" t="s">
        <v>2050</v>
      </c>
      <c r="C20" s="3" t="s">
        <v>2208</v>
      </c>
      <c r="D20" s="3" t="s">
        <v>2260</v>
      </c>
      <c r="E20" s="4" t="s">
        <v>37</v>
      </c>
      <c r="F20" s="4">
        <v>1.53</v>
      </c>
      <c r="G20" s="4">
        <v>3</v>
      </c>
      <c r="H20" s="4"/>
      <c r="I20" s="4" t="s">
        <v>2240</v>
      </c>
    </row>
    <row r="21" spans="1:9">
      <c r="A21" s="5">
        <v>20</v>
      </c>
      <c r="B21" s="11" t="s">
        <v>1985</v>
      </c>
      <c r="C21" s="5" t="s">
        <v>2261</v>
      </c>
      <c r="D21" s="5" t="s">
        <v>2262</v>
      </c>
      <c r="E21" s="7" t="s">
        <v>37</v>
      </c>
      <c r="F21" s="7">
        <v>1.71</v>
      </c>
      <c r="G21" s="7">
        <v>55</v>
      </c>
      <c r="H21" s="7">
        <v>1</v>
      </c>
      <c r="I21" s="7"/>
    </row>
    <row r="22" spans="1:9">
      <c r="A22" s="5">
        <v>21</v>
      </c>
      <c r="B22" s="11" t="s">
        <v>1545</v>
      </c>
      <c r="C22" s="5" t="s">
        <v>2263</v>
      </c>
      <c r="D22" s="5" t="s">
        <v>2264</v>
      </c>
      <c r="E22" s="7" t="s">
        <v>37</v>
      </c>
      <c r="F22" s="7">
        <v>1.21</v>
      </c>
      <c r="G22" s="7">
        <v>18</v>
      </c>
      <c r="H22" s="7">
        <v>1</v>
      </c>
      <c r="I22" s="7"/>
    </row>
    <row r="23" spans="1:9">
      <c r="A23" s="5">
        <v>22</v>
      </c>
      <c r="B23" s="11" t="s">
        <v>1683</v>
      </c>
      <c r="C23" s="5" t="s">
        <v>2265</v>
      </c>
      <c r="D23" s="5" t="s">
        <v>2266</v>
      </c>
      <c r="E23" s="7" t="s">
        <v>37</v>
      </c>
      <c r="F23" s="7" t="s">
        <v>2267</v>
      </c>
      <c r="G23" s="12" t="s">
        <v>2268</v>
      </c>
      <c r="H23" s="7">
        <v>1</v>
      </c>
      <c r="I23" s="7"/>
    </row>
    <row r="24" spans="1:9">
      <c r="A24" s="3">
        <v>23</v>
      </c>
      <c r="B24" s="10" t="s">
        <v>2269</v>
      </c>
      <c r="C24" s="3" t="s">
        <v>2270</v>
      </c>
      <c r="D24" s="3"/>
      <c r="E24" s="4" t="s">
        <v>2224</v>
      </c>
      <c r="F24" s="4"/>
      <c r="G24" s="4"/>
      <c r="H24" s="4"/>
      <c r="I24" s="4" t="s">
        <v>2214</v>
      </c>
    </row>
    <row r="25" spans="1:9">
      <c r="A25" s="3">
        <v>24</v>
      </c>
      <c r="B25" s="10" t="s">
        <v>2271</v>
      </c>
      <c r="C25" s="3" t="s">
        <v>2272</v>
      </c>
      <c r="D25" s="3" t="s">
        <v>2273</v>
      </c>
      <c r="E25" s="3" t="s">
        <v>37</v>
      </c>
      <c r="F25" s="4">
        <v>1.33</v>
      </c>
      <c r="G25" s="4">
        <v>57</v>
      </c>
      <c r="H25" s="4"/>
      <c r="I25" s="4" t="s">
        <v>2240</v>
      </c>
    </row>
    <row r="26" spans="1:9">
      <c r="A26" s="5">
        <v>25</v>
      </c>
      <c r="B26" s="11" t="s">
        <v>2093</v>
      </c>
      <c r="C26" s="5" t="s">
        <v>2272</v>
      </c>
      <c r="D26" s="5" t="s">
        <v>2274</v>
      </c>
      <c r="E26" s="7"/>
      <c r="F26" s="7"/>
      <c r="G26" s="7">
        <v>2</v>
      </c>
      <c r="H26" s="7">
        <v>1</v>
      </c>
      <c r="I26" s="7"/>
    </row>
    <row r="27" spans="1:9">
      <c r="A27" s="3">
        <v>26</v>
      </c>
      <c r="B27" s="10" t="s">
        <v>1789</v>
      </c>
      <c r="C27" s="3" t="s">
        <v>2263</v>
      </c>
      <c r="D27" s="3" t="s">
        <v>2275</v>
      </c>
      <c r="E27" s="4" t="s">
        <v>37</v>
      </c>
      <c r="F27" s="4">
        <v>2015</v>
      </c>
      <c r="G27" s="4">
        <v>8</v>
      </c>
      <c r="H27" s="4"/>
      <c r="I27" s="4" t="s">
        <v>2276</v>
      </c>
    </row>
    <row r="28" spans="1:9">
      <c r="A28" s="5">
        <v>27</v>
      </c>
      <c r="B28" s="11" t="s">
        <v>1791</v>
      </c>
      <c r="C28" s="5" t="s">
        <v>2208</v>
      </c>
      <c r="D28" s="5" t="s">
        <v>2277</v>
      </c>
      <c r="E28" s="7" t="s">
        <v>37</v>
      </c>
      <c r="F28" s="7">
        <v>1.32</v>
      </c>
      <c r="G28" s="7">
        <v>7</v>
      </c>
      <c r="H28" s="7">
        <v>1</v>
      </c>
      <c r="I28" s="7"/>
    </row>
    <row r="29" spans="1:9">
      <c r="A29" s="3">
        <v>28</v>
      </c>
      <c r="B29" s="10" t="s">
        <v>1770</v>
      </c>
      <c r="C29" s="3" t="s">
        <v>2278</v>
      </c>
      <c r="D29" s="3" t="s">
        <v>2257</v>
      </c>
      <c r="E29" s="4" t="s">
        <v>37</v>
      </c>
      <c r="F29" s="4">
        <v>1.1</v>
      </c>
      <c r="G29" s="4">
        <v>16</v>
      </c>
      <c r="H29" s="4"/>
      <c r="I29" s="4" t="s">
        <v>2276</v>
      </c>
    </row>
    <row r="30" spans="1:9">
      <c r="A30" s="5">
        <v>29</v>
      </c>
      <c r="B30" s="11" t="s">
        <v>2171</v>
      </c>
      <c r="C30" s="5" t="s">
        <v>2256</v>
      </c>
      <c r="D30" s="5" t="s">
        <v>2279</v>
      </c>
      <c r="E30" s="7"/>
      <c r="F30" s="7"/>
      <c r="G30" s="13"/>
      <c r="H30" s="7">
        <v>1</v>
      </c>
      <c r="I30" s="7"/>
    </row>
    <row r="31" spans="1:9">
      <c r="A31" s="5">
        <v>30</v>
      </c>
      <c r="B31" s="11" t="s">
        <v>1666</v>
      </c>
      <c r="C31" s="5" t="s">
        <v>2208</v>
      </c>
      <c r="D31" s="5" t="s">
        <v>2280</v>
      </c>
      <c r="E31" s="7" t="s">
        <v>37</v>
      </c>
      <c r="F31" s="7">
        <v>1.91</v>
      </c>
      <c r="G31" s="13">
        <v>10</v>
      </c>
      <c r="H31" s="7">
        <v>1</v>
      </c>
      <c r="I31" s="7"/>
    </row>
    <row r="32" spans="1:9">
      <c r="A32" s="3">
        <v>31</v>
      </c>
      <c r="B32" s="10" t="s">
        <v>2281</v>
      </c>
      <c r="C32" s="3" t="s">
        <v>2270</v>
      </c>
      <c r="D32" s="3" t="s">
        <v>2282</v>
      </c>
      <c r="E32" s="4" t="s">
        <v>37</v>
      </c>
      <c r="F32" s="4">
        <v>2.25</v>
      </c>
      <c r="G32" s="14">
        <v>18</v>
      </c>
      <c r="H32" s="4"/>
      <c r="I32" s="4" t="s">
        <v>2236</v>
      </c>
    </row>
    <row r="33" spans="1:9">
      <c r="A33" s="3">
        <v>32</v>
      </c>
      <c r="B33" s="10" t="s">
        <v>1927</v>
      </c>
      <c r="C33" s="3" t="s">
        <v>2208</v>
      </c>
      <c r="D33" s="3" t="s">
        <v>2283</v>
      </c>
      <c r="E33" s="4" t="s">
        <v>37</v>
      </c>
      <c r="F33" s="4" t="s">
        <v>2284</v>
      </c>
      <c r="G33" s="14">
        <v>23</v>
      </c>
      <c r="H33" s="4"/>
      <c r="I33" s="4" t="s">
        <v>2240</v>
      </c>
    </row>
    <row r="34" spans="1:9">
      <c r="A34" s="3">
        <v>33</v>
      </c>
      <c r="B34" s="10" t="s">
        <v>1688</v>
      </c>
      <c r="C34" s="3" t="s">
        <v>2270</v>
      </c>
      <c r="D34" s="3"/>
      <c r="E34" s="4" t="s">
        <v>37</v>
      </c>
      <c r="F34" s="4">
        <v>1.15</v>
      </c>
      <c r="G34" s="14">
        <v>4</v>
      </c>
      <c r="H34" s="4"/>
      <c r="I34" s="4" t="s">
        <v>2240</v>
      </c>
    </row>
    <row r="35" spans="1:9">
      <c r="A35" s="5">
        <v>34</v>
      </c>
      <c r="B35" s="11" t="s">
        <v>2152</v>
      </c>
      <c r="C35" s="5" t="s">
        <v>2261</v>
      </c>
      <c r="D35" s="5" t="s">
        <v>2216</v>
      </c>
      <c r="E35" s="7" t="s">
        <v>2285</v>
      </c>
      <c r="F35" s="7"/>
      <c r="G35" s="13" t="s">
        <v>2286</v>
      </c>
      <c r="H35" s="7">
        <v>1</v>
      </c>
      <c r="I35" s="7"/>
    </row>
    <row r="36" spans="1:9">
      <c r="A36" s="3">
        <v>35</v>
      </c>
      <c r="B36" s="10" t="s">
        <v>2287</v>
      </c>
      <c r="C36" s="3" t="s">
        <v>2288</v>
      </c>
      <c r="D36" s="3"/>
      <c r="E36" s="4"/>
      <c r="F36" s="4"/>
      <c r="G36" s="14"/>
      <c r="H36" s="4"/>
      <c r="I36" s="4" t="s">
        <v>2210</v>
      </c>
    </row>
    <row r="37" spans="1:9">
      <c r="A37" s="5">
        <v>36</v>
      </c>
      <c r="B37" s="11" t="s">
        <v>1921</v>
      </c>
      <c r="C37" s="5" t="s">
        <v>2272</v>
      </c>
      <c r="D37" s="5" t="s">
        <v>2289</v>
      </c>
      <c r="E37" s="7" t="s">
        <v>37</v>
      </c>
      <c r="F37" s="7">
        <v>1.16</v>
      </c>
      <c r="G37" s="13">
        <v>12</v>
      </c>
      <c r="H37" s="7">
        <v>1</v>
      </c>
      <c r="I37" s="7"/>
    </row>
    <row r="38" spans="1:9">
      <c r="A38" s="5">
        <v>37</v>
      </c>
      <c r="B38" s="11" t="s">
        <v>1861</v>
      </c>
      <c r="C38" s="5" t="s">
        <v>2272</v>
      </c>
      <c r="D38" s="5" t="s">
        <v>2290</v>
      </c>
      <c r="E38" s="7" t="s">
        <v>37</v>
      </c>
      <c r="F38" s="7">
        <v>1.08</v>
      </c>
      <c r="G38" s="13">
        <v>8</v>
      </c>
      <c r="H38" s="7">
        <v>1</v>
      </c>
      <c r="I38" s="7"/>
    </row>
    <row r="39" spans="1:9">
      <c r="A39" s="5">
        <v>38</v>
      </c>
      <c r="B39" s="11" t="s">
        <v>2081</v>
      </c>
      <c r="C39" s="5" t="s">
        <v>2272</v>
      </c>
      <c r="D39" s="5" t="s">
        <v>2291</v>
      </c>
      <c r="E39" s="7" t="s">
        <v>37</v>
      </c>
      <c r="F39" s="7">
        <v>1.77</v>
      </c>
      <c r="G39" s="13">
        <v>12</v>
      </c>
      <c r="H39" s="7">
        <v>1</v>
      </c>
      <c r="I39" s="7"/>
    </row>
    <row r="40" spans="1:9">
      <c r="A40" s="3">
        <v>39</v>
      </c>
      <c r="B40" s="10" t="s">
        <v>2117</v>
      </c>
      <c r="C40" s="3" t="s">
        <v>2272</v>
      </c>
      <c r="D40" s="3" t="s">
        <v>2292</v>
      </c>
      <c r="E40" s="4" t="s">
        <v>79</v>
      </c>
      <c r="F40" s="4"/>
      <c r="G40" s="14">
        <v>8</v>
      </c>
      <c r="H40" s="4"/>
      <c r="I40" s="4" t="s">
        <v>2210</v>
      </c>
    </row>
    <row r="41" spans="1:9">
      <c r="A41" s="5">
        <v>40</v>
      </c>
      <c r="B41" s="11" t="s">
        <v>1557</v>
      </c>
      <c r="C41" s="5" t="s">
        <v>2293</v>
      </c>
      <c r="D41" s="5" t="s">
        <v>2294</v>
      </c>
      <c r="E41" s="7" t="s">
        <v>2295</v>
      </c>
      <c r="F41" s="7" t="s">
        <v>2296</v>
      </c>
      <c r="G41" s="13" t="s">
        <v>2297</v>
      </c>
      <c r="H41" s="7">
        <v>1</v>
      </c>
      <c r="I41" s="7"/>
    </row>
    <row r="42" spans="1:9">
      <c r="C42" s="1"/>
    </row>
    <row r="43" spans="1:9">
      <c r="C43" s="1"/>
    </row>
    <row r="44" spans="1:9">
      <c r="A44" s="1" t="s">
        <v>2298</v>
      </c>
      <c r="C44" s="1"/>
    </row>
    <row r="45" spans="1:9">
      <c r="C45" s="1"/>
    </row>
    <row r="46" spans="1:9">
      <c r="A46" s="1" t="s">
        <v>2198</v>
      </c>
      <c r="B46" s="15" t="s">
        <v>2299</v>
      </c>
      <c r="C46" s="2" t="s">
        <v>2200</v>
      </c>
      <c r="D46" s="2" t="s">
        <v>2201</v>
      </c>
      <c r="E46" s="1" t="s">
        <v>2202</v>
      </c>
      <c r="F46" s="2" t="s">
        <v>2203</v>
      </c>
      <c r="G46" s="2" t="s">
        <v>2300</v>
      </c>
      <c r="H46" s="1" t="s">
        <v>2204</v>
      </c>
      <c r="I46" s="2" t="s">
        <v>2301</v>
      </c>
    </row>
    <row r="47" spans="1:9">
      <c r="A47" s="7">
        <v>1</v>
      </c>
      <c r="B47" s="11" t="s">
        <v>1653</v>
      </c>
      <c r="C47" s="5" t="s">
        <v>2302</v>
      </c>
      <c r="D47" s="7" t="s">
        <v>2303</v>
      </c>
      <c r="E47" s="7" t="s">
        <v>37</v>
      </c>
      <c r="F47" s="5">
        <v>1.29</v>
      </c>
      <c r="G47" s="5">
        <v>11</v>
      </c>
      <c r="H47" s="7">
        <v>1</v>
      </c>
      <c r="I47" s="7"/>
    </row>
    <row r="48" spans="1:9">
      <c r="A48" s="16">
        <v>2</v>
      </c>
      <c r="B48" s="17" t="s">
        <v>1863</v>
      </c>
      <c r="C48" s="18" t="s">
        <v>2218</v>
      </c>
      <c r="D48" s="16" t="s">
        <v>2290</v>
      </c>
      <c r="E48" s="16" t="s">
        <v>37</v>
      </c>
      <c r="F48" s="18">
        <v>1.7</v>
      </c>
      <c r="G48" s="18">
        <v>9</v>
      </c>
      <c r="H48" s="16">
        <v>1</v>
      </c>
      <c r="I48" s="16"/>
    </row>
    <row r="49" spans="1:9">
      <c r="A49" s="4">
        <v>3</v>
      </c>
      <c r="B49" s="10" t="s">
        <v>2304</v>
      </c>
      <c r="C49" s="4" t="s">
        <v>2270</v>
      </c>
      <c r="D49" s="4" t="s">
        <v>2305</v>
      </c>
      <c r="E49" s="4" t="s">
        <v>37</v>
      </c>
      <c r="F49" s="3">
        <v>1</v>
      </c>
      <c r="G49" s="3">
        <v>7</v>
      </c>
      <c r="H49" s="4"/>
      <c r="I49" s="4" t="s">
        <v>2214</v>
      </c>
    </row>
    <row r="50" spans="1:9">
      <c r="A50" s="4">
        <v>4</v>
      </c>
      <c r="B50" s="10" t="s">
        <v>2306</v>
      </c>
      <c r="C50" s="4" t="s">
        <v>2307</v>
      </c>
      <c r="D50" s="4" t="s">
        <v>2308</v>
      </c>
      <c r="E50" s="4" t="s">
        <v>37</v>
      </c>
      <c r="F50" s="3">
        <v>1.15</v>
      </c>
      <c r="G50" s="3">
        <v>19</v>
      </c>
      <c r="H50" s="4"/>
      <c r="I50" s="4" t="s">
        <v>2240</v>
      </c>
    </row>
    <row r="51" spans="1:9">
      <c r="A51" s="4">
        <v>5</v>
      </c>
      <c r="B51" s="10" t="s">
        <v>2309</v>
      </c>
      <c r="C51" s="4"/>
      <c r="D51" s="4"/>
      <c r="E51" s="4"/>
      <c r="F51" s="3"/>
      <c r="G51" s="3"/>
      <c r="H51" s="4"/>
      <c r="I51" s="4" t="s">
        <v>2214</v>
      </c>
    </row>
    <row r="52" spans="1:9">
      <c r="A52" s="4">
        <v>6</v>
      </c>
      <c r="B52" s="10" t="s">
        <v>2310</v>
      </c>
      <c r="C52" s="4" t="s">
        <v>2256</v>
      </c>
      <c r="D52" s="4" t="s">
        <v>2311</v>
      </c>
      <c r="E52" s="4"/>
      <c r="F52" s="3"/>
      <c r="G52" s="3"/>
      <c r="H52" s="4"/>
      <c r="I52" s="4" t="s">
        <v>2214</v>
      </c>
    </row>
    <row r="53" spans="1:9">
      <c r="A53" s="4">
        <v>7</v>
      </c>
      <c r="B53" s="10" t="s">
        <v>2312</v>
      </c>
      <c r="C53" s="4"/>
      <c r="D53" s="4"/>
      <c r="E53" s="4"/>
      <c r="F53" s="3"/>
      <c r="G53" s="3"/>
      <c r="H53" s="4"/>
      <c r="I53" s="4" t="s">
        <v>2214</v>
      </c>
    </row>
    <row r="54" spans="1:9">
      <c r="A54" s="4">
        <v>8</v>
      </c>
      <c r="B54" s="10" t="s">
        <v>2313</v>
      </c>
      <c r="C54" s="4" t="s">
        <v>2208</v>
      </c>
      <c r="D54" s="4" t="s">
        <v>2314</v>
      </c>
      <c r="E54" s="4"/>
      <c r="F54" s="3"/>
      <c r="G54" s="3"/>
      <c r="H54" s="4"/>
      <c r="I54" s="4" t="s">
        <v>2214</v>
      </c>
    </row>
    <row r="55" spans="1:9">
      <c r="A55" s="4">
        <v>9</v>
      </c>
      <c r="B55" s="10" t="s">
        <v>2315</v>
      </c>
      <c r="C55" s="4" t="s">
        <v>2270</v>
      </c>
      <c r="D55" s="4" t="s">
        <v>2316</v>
      </c>
      <c r="E55" s="4"/>
      <c r="F55" s="3"/>
      <c r="G55" s="3"/>
      <c r="H55" s="4"/>
      <c r="I55" s="4" t="s">
        <v>2214</v>
      </c>
    </row>
    <row r="56" spans="1:9">
      <c r="A56" s="4">
        <v>10</v>
      </c>
      <c r="B56" s="10" t="s">
        <v>2317</v>
      </c>
      <c r="C56" s="4" t="s">
        <v>2270</v>
      </c>
      <c r="D56" s="4" t="s">
        <v>2318</v>
      </c>
      <c r="E56" s="4"/>
      <c r="F56" s="3"/>
      <c r="G56" s="3"/>
      <c r="H56" s="4"/>
      <c r="I56" s="4" t="s">
        <v>2214</v>
      </c>
    </row>
    <row r="57" spans="1:9">
      <c r="A57" s="4">
        <v>11</v>
      </c>
      <c r="B57" s="10" t="s">
        <v>2319</v>
      </c>
      <c r="C57" s="4"/>
      <c r="D57" s="4"/>
      <c r="E57" s="4"/>
      <c r="F57" s="3"/>
      <c r="G57" s="3"/>
      <c r="H57" s="4"/>
      <c r="I57" s="4" t="s">
        <v>2214</v>
      </c>
    </row>
    <row r="58" spans="1:9">
      <c r="A58" s="7">
        <v>12</v>
      </c>
      <c r="B58" s="11" t="s">
        <v>1884</v>
      </c>
      <c r="C58" s="5" t="s">
        <v>2218</v>
      </c>
      <c r="D58" s="7" t="s">
        <v>2320</v>
      </c>
      <c r="E58" s="7" t="s">
        <v>79</v>
      </c>
      <c r="F58" s="5">
        <v>1.15</v>
      </c>
      <c r="G58" s="5">
        <v>47</v>
      </c>
      <c r="H58" s="7">
        <v>1</v>
      </c>
      <c r="I58" s="7"/>
    </row>
    <row r="59" spans="1:9">
      <c r="A59" s="4">
        <v>13</v>
      </c>
      <c r="B59" s="10" t="s">
        <v>2321</v>
      </c>
      <c r="C59" s="4" t="s">
        <v>2218</v>
      </c>
      <c r="D59" s="4" t="s">
        <v>2290</v>
      </c>
      <c r="E59" s="4" t="s">
        <v>79</v>
      </c>
      <c r="F59" s="3"/>
      <c r="G59" s="3" t="s">
        <v>2322</v>
      </c>
      <c r="H59" s="4"/>
      <c r="I59" s="4" t="s">
        <v>2214</v>
      </c>
    </row>
    <row r="60" spans="1:9">
      <c r="A60" s="4">
        <v>14</v>
      </c>
      <c r="B60" s="10" t="s">
        <v>2323</v>
      </c>
      <c r="C60" s="4" t="s">
        <v>2324</v>
      </c>
      <c r="D60" s="4"/>
      <c r="E60" s="4"/>
      <c r="F60" s="3"/>
      <c r="G60" s="3"/>
      <c r="H60" s="4"/>
      <c r="I60" s="4" t="s">
        <v>2214</v>
      </c>
    </row>
    <row r="61" spans="1:9">
      <c r="A61" s="7">
        <v>15</v>
      </c>
      <c r="B61" s="11" t="s">
        <v>2007</v>
      </c>
      <c r="C61" s="5" t="s">
        <v>2325</v>
      </c>
      <c r="D61" s="7" t="s">
        <v>2326</v>
      </c>
      <c r="E61" s="7" t="s">
        <v>79</v>
      </c>
      <c r="F61" s="5">
        <v>1.02</v>
      </c>
      <c r="G61" s="5">
        <v>9</v>
      </c>
      <c r="H61" s="7">
        <v>1</v>
      </c>
      <c r="I61" s="7"/>
    </row>
    <row r="62" spans="1:9">
      <c r="A62" s="4">
        <v>16</v>
      </c>
      <c r="B62" s="10" t="s">
        <v>2327</v>
      </c>
      <c r="C62" s="4" t="s">
        <v>2328</v>
      </c>
      <c r="D62" s="4"/>
      <c r="E62" s="4"/>
      <c r="F62" s="3"/>
      <c r="G62" s="3"/>
      <c r="H62" s="4"/>
      <c r="I62" s="4" t="s">
        <v>2214</v>
      </c>
    </row>
    <row r="63" spans="1:9">
      <c r="A63" s="7">
        <v>17</v>
      </c>
      <c r="B63" s="11" t="s">
        <v>1865</v>
      </c>
      <c r="C63" s="5" t="s">
        <v>2218</v>
      </c>
      <c r="D63" s="7" t="s">
        <v>2290</v>
      </c>
      <c r="E63" s="7" t="s">
        <v>79</v>
      </c>
      <c r="F63" s="5">
        <v>1.49</v>
      </c>
      <c r="G63" s="5">
        <v>12</v>
      </c>
      <c r="H63" s="7">
        <v>1</v>
      </c>
      <c r="I63" s="7"/>
    </row>
    <row r="64" spans="1:9">
      <c r="A64" s="7">
        <v>18</v>
      </c>
      <c r="B64" s="11" t="s">
        <v>1949</v>
      </c>
      <c r="C64" s="5" t="s">
        <v>2256</v>
      </c>
      <c r="D64" s="7" t="s">
        <v>2329</v>
      </c>
      <c r="E64" s="7" t="s">
        <v>37</v>
      </c>
      <c r="F64" s="5">
        <v>1.22</v>
      </c>
      <c r="G64" s="5" t="s">
        <v>2330</v>
      </c>
      <c r="H64" s="7">
        <v>1</v>
      </c>
      <c r="I64" s="7"/>
    </row>
    <row r="65" spans="1:9">
      <c r="A65" s="7">
        <v>19</v>
      </c>
      <c r="B65" s="19" t="s">
        <v>2331</v>
      </c>
      <c r="C65" s="7" t="s">
        <v>2208</v>
      </c>
      <c r="D65" s="7" t="s">
        <v>2332</v>
      </c>
      <c r="E65" s="7" t="s">
        <v>37</v>
      </c>
      <c r="F65" s="5">
        <v>1.7</v>
      </c>
      <c r="G65" s="5">
        <v>14</v>
      </c>
      <c r="H65" s="7"/>
      <c r="I65" s="7"/>
    </row>
    <row r="66" spans="1:9">
      <c r="A66" s="4">
        <v>20</v>
      </c>
      <c r="B66" s="10" t="s">
        <v>2333</v>
      </c>
      <c r="C66" s="4" t="s">
        <v>2334</v>
      </c>
      <c r="D66" s="4"/>
      <c r="E66" s="4"/>
      <c r="F66" s="3"/>
      <c r="G66" s="3"/>
      <c r="H66" s="4"/>
      <c r="I66" s="4" t="s">
        <v>2214</v>
      </c>
    </row>
    <row r="67" spans="1:9">
      <c r="A67" s="4">
        <v>21</v>
      </c>
      <c r="B67" s="10" t="s">
        <v>2335</v>
      </c>
      <c r="C67" s="4" t="s">
        <v>2272</v>
      </c>
      <c r="D67" s="4" t="s">
        <v>2336</v>
      </c>
      <c r="E67" s="4"/>
      <c r="F67" s="3"/>
      <c r="G67" s="3"/>
      <c r="H67" s="4"/>
      <c r="I67" s="4" t="s">
        <v>2214</v>
      </c>
    </row>
    <row r="68" spans="1:9">
      <c r="A68" s="4">
        <v>22</v>
      </c>
      <c r="B68" s="10" t="s">
        <v>2337</v>
      </c>
      <c r="C68" s="4" t="s">
        <v>2272</v>
      </c>
      <c r="D68" s="4" t="s">
        <v>2338</v>
      </c>
      <c r="E68" s="4" t="s">
        <v>37</v>
      </c>
      <c r="F68" s="3"/>
      <c r="G68" s="3"/>
      <c r="H68" s="4"/>
      <c r="I68" s="4" t="s">
        <v>2214</v>
      </c>
    </row>
    <row r="69" spans="1:9">
      <c r="A69" s="4">
        <v>23</v>
      </c>
      <c r="B69" s="10" t="s">
        <v>2339</v>
      </c>
      <c r="C69" s="4" t="s">
        <v>2324</v>
      </c>
      <c r="D69" s="4"/>
      <c r="E69" s="4"/>
      <c r="F69" s="3"/>
      <c r="G69" s="3"/>
      <c r="H69" s="4"/>
      <c r="I69" s="4" t="s">
        <v>2214</v>
      </c>
    </row>
    <row r="70" spans="1:9">
      <c r="A70" s="4">
        <v>24</v>
      </c>
      <c r="B70" s="10" t="s">
        <v>2340</v>
      </c>
      <c r="C70" s="4" t="s">
        <v>2341</v>
      </c>
      <c r="D70" s="4"/>
      <c r="E70" s="4"/>
      <c r="F70" s="3"/>
      <c r="G70" s="3"/>
      <c r="H70" s="4"/>
      <c r="I70" s="4" t="s">
        <v>2236</v>
      </c>
    </row>
    <row r="71" spans="1:9">
      <c r="A71" s="7">
        <v>25</v>
      </c>
      <c r="B71" s="11" t="s">
        <v>2013</v>
      </c>
      <c r="C71" s="5" t="s">
        <v>2256</v>
      </c>
      <c r="D71" s="7" t="s">
        <v>2342</v>
      </c>
      <c r="E71" s="7" t="s">
        <v>37</v>
      </c>
      <c r="F71" s="5">
        <v>1.29</v>
      </c>
      <c r="G71" s="5">
        <v>8</v>
      </c>
      <c r="H71" s="7">
        <v>1</v>
      </c>
      <c r="I71" s="7"/>
    </row>
    <row r="72" spans="1:9">
      <c r="A72" s="4">
        <v>26</v>
      </c>
      <c r="B72" s="10" t="s">
        <v>2343</v>
      </c>
      <c r="C72" s="4" t="s">
        <v>2344</v>
      </c>
      <c r="D72" s="4"/>
      <c r="E72" s="4"/>
      <c r="F72" s="3"/>
      <c r="G72" s="3"/>
      <c r="H72" s="4"/>
      <c r="I72" s="4" t="s">
        <v>2214</v>
      </c>
    </row>
    <row r="73" spans="1:9">
      <c r="A73" s="4">
        <v>27</v>
      </c>
      <c r="B73" s="10" t="s">
        <v>2345</v>
      </c>
      <c r="C73" s="4" t="s">
        <v>2346</v>
      </c>
      <c r="D73" s="4"/>
      <c r="E73" s="4"/>
      <c r="F73" s="3"/>
      <c r="G73" s="3"/>
      <c r="H73" s="4"/>
      <c r="I73" s="4" t="s">
        <v>2214</v>
      </c>
    </row>
    <row r="74" spans="1:9">
      <c r="A74" s="4">
        <v>28</v>
      </c>
      <c r="B74" s="10" t="s">
        <v>2347</v>
      </c>
      <c r="C74" s="4" t="s">
        <v>2256</v>
      </c>
      <c r="D74" s="4" t="s">
        <v>2348</v>
      </c>
      <c r="E74" s="4"/>
      <c r="F74" s="3"/>
      <c r="G74" s="3"/>
      <c r="H74" s="4"/>
      <c r="I74" s="4" t="s">
        <v>2214</v>
      </c>
    </row>
    <row r="75" spans="1:9">
      <c r="A75" s="4">
        <v>29</v>
      </c>
      <c r="B75" s="10" t="s">
        <v>2349</v>
      </c>
      <c r="C75" s="4"/>
      <c r="D75" s="4"/>
      <c r="E75" s="4"/>
      <c r="F75" s="3"/>
      <c r="G75" s="3"/>
      <c r="H75" s="4"/>
      <c r="I75" s="4" t="s">
        <v>2214</v>
      </c>
    </row>
    <row r="76" spans="1:9">
      <c r="A76" s="4">
        <v>30</v>
      </c>
      <c r="B76" s="10" t="s">
        <v>2350</v>
      </c>
      <c r="C76" s="4" t="s">
        <v>2351</v>
      </c>
      <c r="D76" s="4"/>
      <c r="E76" s="4"/>
      <c r="F76" s="3"/>
      <c r="G76" s="3"/>
      <c r="H76" s="4"/>
      <c r="I76" s="4" t="s">
        <v>2236</v>
      </c>
    </row>
    <row r="77" spans="1:9">
      <c r="A77" s="4">
        <v>31</v>
      </c>
      <c r="B77" s="10" t="s">
        <v>2352</v>
      </c>
      <c r="C77" s="4" t="s">
        <v>2307</v>
      </c>
      <c r="D77" s="4" t="s">
        <v>2353</v>
      </c>
      <c r="E77" s="4"/>
      <c r="F77" s="3"/>
      <c r="G77" s="3"/>
      <c r="H77" s="4"/>
      <c r="I77" s="4" t="s">
        <v>2214</v>
      </c>
    </row>
    <row r="78" spans="1:9">
      <c r="A78" s="4">
        <v>32</v>
      </c>
      <c r="B78" s="10" t="s">
        <v>2354</v>
      </c>
      <c r="C78" s="4" t="s">
        <v>2355</v>
      </c>
      <c r="D78" s="4" t="s">
        <v>2356</v>
      </c>
      <c r="E78" s="4"/>
      <c r="F78" s="3"/>
      <c r="G78" s="3"/>
      <c r="H78" s="4"/>
      <c r="I78" s="4" t="s">
        <v>2214</v>
      </c>
    </row>
    <row r="79" spans="1:9">
      <c r="A79" s="4">
        <v>33</v>
      </c>
      <c r="B79" s="10" t="s">
        <v>2357</v>
      </c>
      <c r="C79" s="4" t="s">
        <v>2351</v>
      </c>
      <c r="D79" s="4"/>
      <c r="E79" s="4"/>
      <c r="F79" s="3"/>
      <c r="G79" s="3"/>
      <c r="H79" s="4"/>
      <c r="I79" s="4" t="s">
        <v>2214</v>
      </c>
    </row>
    <row r="80" spans="1:9">
      <c r="A80" s="7">
        <v>34</v>
      </c>
      <c r="B80" s="11" t="s">
        <v>1793</v>
      </c>
      <c r="C80" s="5"/>
      <c r="D80" s="7"/>
      <c r="E80" s="7"/>
      <c r="F80" s="5"/>
      <c r="G80" s="5"/>
      <c r="H80" s="7">
        <v>1</v>
      </c>
      <c r="I80" s="7"/>
    </row>
    <row r="81" spans="1:9">
      <c r="A81" s="7">
        <v>35</v>
      </c>
      <c r="B81" s="19" t="s">
        <v>2358</v>
      </c>
      <c r="C81" s="7" t="s">
        <v>2256</v>
      </c>
      <c r="D81" s="7" t="s">
        <v>2359</v>
      </c>
      <c r="E81" s="7" t="s">
        <v>37</v>
      </c>
      <c r="F81" s="5" t="s">
        <v>2360</v>
      </c>
      <c r="G81" s="5">
        <v>12</v>
      </c>
      <c r="H81" s="7"/>
      <c r="I81" s="7"/>
    </row>
    <row r="82" spans="1:9">
      <c r="A82" s="4">
        <v>36</v>
      </c>
      <c r="B82" s="10" t="s">
        <v>2361</v>
      </c>
      <c r="C82" s="4" t="s">
        <v>2256</v>
      </c>
      <c r="D82" s="4" t="s">
        <v>2362</v>
      </c>
      <c r="E82" s="4"/>
      <c r="F82" s="3"/>
      <c r="G82" s="3"/>
      <c r="H82" s="4"/>
      <c r="I82" s="4" t="s">
        <v>2214</v>
      </c>
    </row>
    <row r="83" spans="1:9">
      <c r="A83" s="4">
        <v>37</v>
      </c>
      <c r="B83" s="10" t="s">
        <v>2363</v>
      </c>
      <c r="C83" s="4" t="s">
        <v>2272</v>
      </c>
      <c r="D83" s="4" t="s">
        <v>2364</v>
      </c>
      <c r="E83" s="4"/>
      <c r="F83" s="3"/>
      <c r="G83" s="3"/>
      <c r="H83" s="4"/>
      <c r="I83" s="4" t="s">
        <v>2214</v>
      </c>
    </row>
    <row r="84" spans="1:9">
      <c r="A84" s="4">
        <v>38</v>
      </c>
      <c r="B84" s="10" t="s">
        <v>2365</v>
      </c>
      <c r="C84" s="4" t="s">
        <v>2256</v>
      </c>
      <c r="D84" s="4" t="s">
        <v>2366</v>
      </c>
      <c r="E84" s="4"/>
      <c r="F84" s="3"/>
      <c r="G84" s="3"/>
      <c r="H84" s="4"/>
      <c r="I84" s="4" t="s">
        <v>2214</v>
      </c>
    </row>
    <row r="85" spans="1:9">
      <c r="A85" s="4">
        <v>39</v>
      </c>
      <c r="B85" s="10" t="s">
        <v>2367</v>
      </c>
      <c r="C85" s="4"/>
      <c r="D85" s="4"/>
      <c r="E85" s="4"/>
      <c r="F85" s="3"/>
      <c r="G85" s="3"/>
      <c r="H85" s="4"/>
      <c r="I85" s="4" t="s">
        <v>2214</v>
      </c>
    </row>
    <row r="86" spans="1:9">
      <c r="A86" s="4">
        <v>40</v>
      </c>
      <c r="B86" s="10" t="s">
        <v>2368</v>
      </c>
      <c r="C86" s="4"/>
      <c r="D86" s="4"/>
      <c r="E86" s="4"/>
      <c r="F86" s="3"/>
      <c r="G86" s="3"/>
      <c r="H86" s="4"/>
      <c r="I86" s="4" t="s">
        <v>2214</v>
      </c>
    </row>
    <row r="87" spans="1:9">
      <c r="A87" s="4">
        <v>41</v>
      </c>
      <c r="B87" s="10" t="s">
        <v>2369</v>
      </c>
      <c r="C87" s="4" t="s">
        <v>2307</v>
      </c>
      <c r="D87" s="4" t="s">
        <v>2362</v>
      </c>
      <c r="E87" s="4"/>
      <c r="F87" s="3"/>
      <c r="G87" s="3"/>
      <c r="H87" s="4"/>
      <c r="I87" s="4" t="s">
        <v>2214</v>
      </c>
    </row>
    <row r="88" spans="1:9">
      <c r="A88" s="4">
        <v>42</v>
      </c>
      <c r="B88" s="10" t="s">
        <v>2370</v>
      </c>
      <c r="C88" s="4" t="s">
        <v>2231</v>
      </c>
      <c r="D88" s="4" t="s">
        <v>2362</v>
      </c>
      <c r="E88" s="4"/>
      <c r="F88" s="3"/>
      <c r="G88" s="3"/>
      <c r="H88" s="4"/>
      <c r="I88" s="4" t="s">
        <v>2214</v>
      </c>
    </row>
    <row r="89" spans="1:9">
      <c r="A89" s="7">
        <v>43</v>
      </c>
      <c r="B89" s="11" t="s">
        <v>1560</v>
      </c>
      <c r="C89" s="5" t="s">
        <v>2371</v>
      </c>
      <c r="D89" s="7" t="s">
        <v>2372</v>
      </c>
      <c r="E89" s="7" t="s">
        <v>37</v>
      </c>
      <c r="F89" s="5">
        <v>1.62</v>
      </c>
      <c r="G89" s="5">
        <v>3</v>
      </c>
      <c r="H89" s="7">
        <v>1</v>
      </c>
      <c r="I89" s="7"/>
    </row>
    <row r="90" spans="1:9">
      <c r="A90" s="4">
        <v>44</v>
      </c>
      <c r="B90" s="10" t="s">
        <v>2373</v>
      </c>
      <c r="C90" s="4" t="s">
        <v>2302</v>
      </c>
      <c r="D90" s="4" t="s">
        <v>2374</v>
      </c>
      <c r="E90" s="4"/>
      <c r="F90" s="3"/>
      <c r="G90" s="3"/>
      <c r="H90" s="4"/>
      <c r="I90" s="4" t="s">
        <v>2214</v>
      </c>
    </row>
    <row r="91" spans="1:9">
      <c r="A91" s="4">
        <v>45</v>
      </c>
      <c r="B91" s="10" t="s">
        <v>2375</v>
      </c>
      <c r="C91" s="4" t="s">
        <v>2272</v>
      </c>
      <c r="D91" s="4" t="s">
        <v>2376</v>
      </c>
      <c r="E91" s="4"/>
      <c r="F91" s="3"/>
      <c r="G91" s="3"/>
      <c r="H91" s="4"/>
      <c r="I91" s="4" t="s">
        <v>2214</v>
      </c>
    </row>
    <row r="92" spans="1:9">
      <c r="A92" s="4">
        <v>46</v>
      </c>
      <c r="B92" s="10" t="s">
        <v>2377</v>
      </c>
      <c r="C92" s="4" t="s">
        <v>2307</v>
      </c>
      <c r="D92" s="4" t="s">
        <v>2362</v>
      </c>
      <c r="E92" s="4"/>
      <c r="F92" s="3"/>
      <c r="G92" s="3"/>
      <c r="H92" s="4"/>
      <c r="I92" s="4" t="s">
        <v>2214</v>
      </c>
    </row>
    <row r="93" spans="1:9">
      <c r="A93" s="4">
        <v>47</v>
      </c>
      <c r="B93" s="10" t="s">
        <v>2378</v>
      </c>
      <c r="C93" s="4" t="s">
        <v>2379</v>
      </c>
      <c r="D93" s="4"/>
      <c r="E93" s="4"/>
      <c r="F93" s="3"/>
      <c r="G93" s="3"/>
      <c r="H93" s="4"/>
      <c r="I93" s="4" t="s">
        <v>2214</v>
      </c>
    </row>
    <row r="94" spans="1:9">
      <c r="A94" s="4">
        <v>48</v>
      </c>
      <c r="B94" s="10" t="s">
        <v>2380</v>
      </c>
      <c r="C94" s="4" t="s">
        <v>2270</v>
      </c>
      <c r="D94" s="4" t="s">
        <v>2381</v>
      </c>
      <c r="E94" s="4"/>
      <c r="F94" s="3"/>
      <c r="G94" s="3"/>
      <c r="H94" s="4"/>
      <c r="I94" s="4" t="s">
        <v>2214</v>
      </c>
    </row>
    <row r="95" spans="1:9">
      <c r="A95" s="4">
        <v>49</v>
      </c>
      <c r="B95" s="10" t="s">
        <v>2382</v>
      </c>
      <c r="C95" s="4" t="s">
        <v>2256</v>
      </c>
      <c r="D95" s="4" t="s">
        <v>2362</v>
      </c>
      <c r="E95" s="4"/>
      <c r="F95" s="3"/>
      <c r="G95" s="3"/>
      <c r="H95" s="4"/>
      <c r="I95" s="4" t="s">
        <v>2214</v>
      </c>
    </row>
    <row r="96" spans="1:9">
      <c r="A96" s="4">
        <v>50</v>
      </c>
      <c r="B96" s="10" t="s">
        <v>2383</v>
      </c>
      <c r="C96" s="4" t="s">
        <v>2384</v>
      </c>
      <c r="D96" s="4" t="s">
        <v>2362</v>
      </c>
      <c r="E96" s="4"/>
      <c r="F96" s="3"/>
      <c r="G96" s="3"/>
      <c r="H96" s="4"/>
      <c r="I96" s="4" t="s">
        <v>2214</v>
      </c>
    </row>
    <row r="97" spans="1:9">
      <c r="A97" s="4">
        <v>51</v>
      </c>
      <c r="B97" s="10" t="s">
        <v>2385</v>
      </c>
      <c r="C97" s="4" t="s">
        <v>2231</v>
      </c>
      <c r="D97" s="4" t="s">
        <v>2386</v>
      </c>
      <c r="E97" s="4"/>
      <c r="F97" s="3"/>
      <c r="G97" s="3"/>
      <c r="H97" s="4"/>
      <c r="I97" s="4" t="s">
        <v>2214</v>
      </c>
    </row>
    <row r="98" spans="1:9">
      <c r="A98" s="4">
        <v>52</v>
      </c>
      <c r="B98" s="10" t="s">
        <v>2387</v>
      </c>
      <c r="C98" s="4" t="s">
        <v>2328</v>
      </c>
      <c r="D98" s="4"/>
      <c r="E98" s="4"/>
      <c r="F98" s="3"/>
      <c r="G98" s="3"/>
      <c r="H98" s="4"/>
      <c r="I98" s="4" t="s">
        <v>2236</v>
      </c>
    </row>
    <row r="99" spans="1:9">
      <c r="A99" s="4">
        <v>53</v>
      </c>
      <c r="B99" s="10" t="s">
        <v>2388</v>
      </c>
      <c r="C99" s="4" t="s">
        <v>2218</v>
      </c>
      <c r="D99" s="4" t="s">
        <v>2290</v>
      </c>
      <c r="E99" s="4" t="s">
        <v>79</v>
      </c>
      <c r="F99" s="3">
        <v>1.15</v>
      </c>
      <c r="G99" s="3">
        <v>2</v>
      </c>
      <c r="H99" s="4"/>
      <c r="I99" s="4" t="s">
        <v>2214</v>
      </c>
    </row>
    <row r="100" spans="1:9">
      <c r="A100" s="4">
        <v>54</v>
      </c>
      <c r="B100" s="10" t="s">
        <v>2389</v>
      </c>
      <c r="C100" s="4" t="s">
        <v>2328</v>
      </c>
      <c r="D100" s="4"/>
      <c r="E100" s="4"/>
      <c r="F100" s="3"/>
      <c r="G100" s="3"/>
      <c r="H100" s="4"/>
      <c r="I100" s="4" t="s">
        <v>2236</v>
      </c>
    </row>
    <row r="101" spans="1:9">
      <c r="A101" s="7">
        <v>55</v>
      </c>
      <c r="B101" s="11" t="s">
        <v>1965</v>
      </c>
      <c r="C101" s="5" t="s">
        <v>2390</v>
      </c>
      <c r="D101" s="7" t="s">
        <v>2366</v>
      </c>
      <c r="E101" s="7" t="s">
        <v>37</v>
      </c>
      <c r="F101" s="5">
        <v>1.91</v>
      </c>
      <c r="G101" s="5">
        <v>8</v>
      </c>
      <c r="H101" s="7">
        <v>1</v>
      </c>
      <c r="I101" s="7"/>
    </row>
    <row r="102" spans="1:9">
      <c r="A102" s="4">
        <v>56</v>
      </c>
      <c r="B102" s="10" t="s">
        <v>2391</v>
      </c>
      <c r="C102" s="4" t="s">
        <v>2328</v>
      </c>
      <c r="D102" s="4"/>
      <c r="E102" s="4"/>
      <c r="F102" s="3"/>
      <c r="G102" s="3"/>
      <c r="H102" s="4"/>
      <c r="I102" s="4" t="s">
        <v>2236</v>
      </c>
    </row>
    <row r="103" spans="1:9">
      <c r="A103" s="4">
        <v>57</v>
      </c>
      <c r="B103" s="10" t="s">
        <v>2392</v>
      </c>
      <c r="C103" s="4" t="s">
        <v>2270</v>
      </c>
      <c r="D103" s="4" t="s">
        <v>2264</v>
      </c>
      <c r="E103" s="4"/>
      <c r="F103" s="3"/>
      <c r="G103" s="3">
        <v>2</v>
      </c>
      <c r="H103" s="4"/>
      <c r="I103" s="4" t="s">
        <v>2210</v>
      </c>
    </row>
    <row r="104" spans="1:9">
      <c r="A104" s="7">
        <v>58</v>
      </c>
      <c r="B104" s="11" t="s">
        <v>1601</v>
      </c>
      <c r="C104" s="5" t="s">
        <v>2302</v>
      </c>
      <c r="D104" s="7" t="s">
        <v>2393</v>
      </c>
      <c r="E104" s="7" t="s">
        <v>37</v>
      </c>
      <c r="F104" s="5">
        <v>1.62</v>
      </c>
      <c r="G104" s="5">
        <v>4</v>
      </c>
      <c r="H104" s="7">
        <v>1</v>
      </c>
      <c r="I104" s="7"/>
    </row>
    <row r="105" spans="1:9">
      <c r="A105" s="4">
        <v>59</v>
      </c>
      <c r="B105" s="10" t="s">
        <v>2394</v>
      </c>
      <c r="C105" s="4" t="s">
        <v>2328</v>
      </c>
      <c r="D105" s="4"/>
      <c r="E105" s="4"/>
      <c r="F105" s="3"/>
      <c r="G105" s="3"/>
      <c r="H105" s="4"/>
      <c r="I105" s="4" t="s">
        <v>2236</v>
      </c>
    </row>
    <row r="106" spans="1:9">
      <c r="A106" s="4">
        <v>60</v>
      </c>
      <c r="B106" s="10" t="s">
        <v>2395</v>
      </c>
      <c r="C106" s="4" t="s">
        <v>2208</v>
      </c>
      <c r="D106" s="4" t="s">
        <v>2396</v>
      </c>
      <c r="E106" s="4"/>
      <c r="F106" s="3"/>
      <c r="G106" s="3"/>
      <c r="H106" s="4"/>
      <c r="I106" s="4" t="s">
        <v>2214</v>
      </c>
    </row>
    <row r="107" spans="1:9">
      <c r="A107" s="4">
        <v>61</v>
      </c>
      <c r="B107" s="10" t="s">
        <v>2397</v>
      </c>
      <c r="C107" s="4" t="s">
        <v>2256</v>
      </c>
      <c r="D107" s="4" t="s">
        <v>2376</v>
      </c>
      <c r="E107" s="4"/>
      <c r="F107" s="3"/>
      <c r="G107" s="3"/>
      <c r="H107" s="4"/>
      <c r="I107" s="4" t="s">
        <v>2214</v>
      </c>
    </row>
    <row r="108" spans="1:9">
      <c r="A108" s="7">
        <v>62</v>
      </c>
      <c r="B108" s="11" t="s">
        <v>1806</v>
      </c>
      <c r="C108" s="5" t="s">
        <v>2256</v>
      </c>
      <c r="D108" s="7" t="s">
        <v>2398</v>
      </c>
      <c r="E108" s="7" t="s">
        <v>37</v>
      </c>
      <c r="F108" s="5">
        <v>2.01</v>
      </c>
      <c r="G108" s="5"/>
      <c r="H108" s="7">
        <v>1</v>
      </c>
      <c r="I108" s="7"/>
    </row>
    <row r="109" spans="1:9">
      <c r="A109" s="4">
        <v>63</v>
      </c>
      <c r="B109" s="10" t="s">
        <v>2399</v>
      </c>
      <c r="C109" s="4" t="s">
        <v>2400</v>
      </c>
      <c r="D109" s="4" t="s">
        <v>2401</v>
      </c>
      <c r="E109" s="4"/>
      <c r="F109" s="3"/>
      <c r="G109" s="3"/>
      <c r="H109" s="4"/>
      <c r="I109" s="4" t="s">
        <v>2236</v>
      </c>
    </row>
    <row r="110" spans="1:9">
      <c r="A110" s="4">
        <v>64</v>
      </c>
      <c r="B110" s="10" t="s">
        <v>2402</v>
      </c>
      <c r="C110" s="4"/>
      <c r="D110" s="4"/>
      <c r="E110" s="4"/>
      <c r="F110" s="3"/>
      <c r="G110" s="3"/>
      <c r="H110" s="4"/>
      <c r="I110" s="4" t="s">
        <v>2214</v>
      </c>
    </row>
    <row r="111" spans="1:9">
      <c r="A111" s="4">
        <v>65</v>
      </c>
      <c r="B111" s="10" t="s">
        <v>2403</v>
      </c>
      <c r="C111" s="4" t="s">
        <v>2404</v>
      </c>
      <c r="D111" s="4" t="s">
        <v>2405</v>
      </c>
      <c r="E111" s="4" t="s">
        <v>37</v>
      </c>
      <c r="F111" s="3">
        <v>1.49</v>
      </c>
      <c r="G111" s="3">
        <v>4</v>
      </c>
      <c r="H111" s="4"/>
      <c r="I111" s="4" t="s">
        <v>2236</v>
      </c>
    </row>
  </sheetData>
  <conditionalFormatting sqref="B46">
    <cfRule type="duplicateValues" dxfId="0" priority="1"/>
  </conditionalFormatting>
  <conditionalFormatting sqref="B47:B111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Data</vt:lpstr>
      <vt:lpstr>GRADE</vt:lpstr>
      <vt:lpstr>AMSTAR2</vt:lpstr>
      <vt:lpstr>MA</vt:lpstr>
      <vt:lpstr>219 evidence</vt:lpstr>
      <vt:lpstr>总纳入meta</vt:lpstr>
      <vt:lpstr>I II 类 FSN</vt:lpstr>
      <vt:lpstr>III IV 类FSN</vt:lpstr>
      <vt:lpstr>Evidence NS CP</vt:lpstr>
      <vt:lpstr>暴露</vt:lpstr>
      <vt:lpstr>Potential eligible meta (277)</vt:lpstr>
      <vt:lpstr>最终结局（有意义+无意义）</vt:lpstr>
      <vt:lpstr>所有有意义结局</vt:lpstr>
      <vt:lpstr>新增文献</vt:lpstr>
      <vt:lpstr>引文检索加参考文献更新检索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张圣欣</dc:creator>
  <cp:lastModifiedBy>Shengxin Zhang</cp:lastModifiedBy>
  <dcterms:created xsi:type="dcterms:W3CDTF">2025-09-13T12:46:00Z</dcterms:created>
  <dcterms:modified xsi:type="dcterms:W3CDTF">2026-01-21T08:26:04Z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972C140DF52042CF93AB665A37577E8D_13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